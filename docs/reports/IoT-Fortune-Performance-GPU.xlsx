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สถานะ" sheetId="1" state="visible" r:id="rId3"/>
    <sheet name="Performance" sheetId="2" state="visible" r:id="rId4"/>
    <sheet name="Background-throttled (memory)" sheetId="3" state="visible" r:id="rId5"/>
    <sheet name="Foreground active-use result" sheetId="4" state="visible" r:id="rId6"/>
    <sheet name="Mobile Viewport Simulation" sheetId="5" state="visible" r:id="rId7"/>
    <sheet name="Console 404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FreeSans"/>
            <family val="2"/>
          </rPr>
          <t xml:space="preserve">เป้าหมายจาก </t>
        </r>
        <r>
          <rPr>
            <sz val="10"/>
            <rFont val="Arial"/>
            <family val="2"/>
          </rPr>
          <t xml:space="preserve">Release Checklist </t>
        </r>
        <r>
          <rPr>
            <sz val="10"/>
            <rFont val="FreeSans"/>
            <family val="2"/>
          </rPr>
          <t xml:space="preserve">ข้อ </t>
        </r>
        <r>
          <rPr>
            <sz val="10"/>
            <rFont val="Arial"/>
            <family val="2"/>
          </rPr>
          <t xml:space="preserve">2 (</t>
        </r>
        <r>
          <rPr>
            <sz val="10"/>
            <rFont val="FreeSans"/>
            <family val="2"/>
          </rPr>
          <t xml:space="preserve">ผู้ใช้กำหนด</t>
        </r>
        <r>
          <rPr>
            <sz val="10"/>
            <rFont val="Arial"/>
            <family val="2"/>
          </rPr>
          <t xml:space="preserve">): Desktop </t>
        </r>
        <r>
          <rPr>
            <sz val="10"/>
            <rFont val="FreeSans"/>
            <family val="2"/>
          </rPr>
          <t xml:space="preserve">เฉลี่ย ≥ </t>
        </r>
        <r>
          <rPr>
            <sz val="10"/>
            <rFont val="Arial"/>
            <family val="2"/>
          </rPr>
          <t xml:space="preserve">45 FPS</t>
        </r>
      </text>
    </comment>
    <comment ref="E7" authorId="0">
      <text>
        <r>
          <rPr>
            <sz val="10"/>
            <rFont val="FreeSans"/>
            <family val="2"/>
          </rPr>
          <t xml:space="preserve">ไม่ได้บันทึก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FreeSans"/>
            <family val="2"/>
          </rPr>
          <t xml:space="preserve">ตัวนับเฟรมที่วาดจริงเพิ่มหลังการวัดกรณีนี้ใน </t>
        </r>
        <r>
          <rPr>
            <sz val="10"/>
            <rFont val="Arial"/>
            <family val="2"/>
          </rPr>
          <t xml:space="preserve">ddc56f0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FreeSans"/>
            <family val="2"/>
          </rPr>
          <t xml:space="preserve">แท็บเดิมแสดง </t>
        </r>
        <r>
          <rPr>
            <sz val="10"/>
            <rFont val="Arial"/>
            <family val="2"/>
          </rPr>
          <t xml:space="preserve">404 </t>
        </r>
        <r>
          <rPr>
            <sz val="10"/>
            <rFont val="FreeSans"/>
            <family val="2"/>
          </rPr>
          <t xml:space="preserve">หนึ่งรายการ — ตรวจซ้ำในแท็บใหม่ไม่เกิด</t>
        </r>
        <r>
          <rPr>
            <sz val="10"/>
            <rFont val="Arial"/>
            <family val="2"/>
          </rPr>
          <t xml:space="preserve">: Stale/External Console Entry</t>
        </r>
      </text>
    </comment>
    <comment ref="G7" authorId="0">
      <text>
        <r>
          <rPr>
            <sz val="10"/>
            <rFont val="FreeSans"/>
            <family val="2"/>
          </rPr>
          <t xml:space="preserve">ค่า </t>
        </r>
        <r>
          <rPr>
            <sz val="10"/>
            <rFont val="Arial"/>
            <family val="2"/>
          </rPr>
          <t xml:space="preserve">JS Heap </t>
        </r>
        <r>
          <rPr>
            <sz val="10"/>
            <rFont val="FreeSans"/>
            <family val="2"/>
          </rPr>
          <t xml:space="preserve">จองรวมช่วงหลังจบอยู่ราว </t>
        </r>
        <r>
          <rPr>
            <sz val="10"/>
            <rFont val="Arial"/>
            <family val="2"/>
          </rPr>
          <t xml:space="preserve">44.8–46.6 MB (</t>
        </r>
        <r>
          <rPr>
            <sz val="10"/>
            <rFont val="FreeSans"/>
            <family val="2"/>
          </rPr>
          <t xml:space="preserve">บันทึกเป็นช่วง ไม่ได้แยกต่อครั้ง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FreeSans"/>
            <family val="2"/>
          </rPr>
          <t xml:space="preserve">เป้าหมายจาก </t>
        </r>
        <r>
          <rPr>
            <sz val="10"/>
            <rFont val="Arial"/>
            <family val="2"/>
          </rPr>
          <t xml:space="preserve">Release Checklist </t>
        </r>
        <r>
          <rPr>
            <sz val="10"/>
            <rFont val="FreeSans"/>
            <family val="2"/>
          </rPr>
          <t xml:space="preserve">ข้อ </t>
        </r>
        <r>
          <rPr>
            <sz val="10"/>
            <rFont val="Arial"/>
            <family val="2"/>
          </rPr>
          <t xml:space="preserve">2: Mobile </t>
        </r>
        <r>
          <rPr>
            <sz val="10"/>
            <rFont val="FreeSans"/>
            <family val="2"/>
          </rPr>
          <t xml:space="preserve">เฉลี่ย ≥ </t>
        </r>
        <r>
          <rPr>
            <sz val="10"/>
            <rFont val="Arial"/>
            <family val="2"/>
          </rPr>
          <t xml:space="preserve">30 FPS</t>
        </r>
      </text>
    </comment>
    <comment ref="C6" authorId="0">
      <text>
        <r>
          <rPr>
            <sz val="10"/>
            <rFont val="FreeSans"/>
            <family val="2"/>
          </rPr>
          <t xml:space="preserve">ช่วงแรกของการวัด ฉากหยุดวาดเมื่อไม่มีอะไรเปลี่ยน </t>
        </r>
        <r>
          <rPr>
            <sz val="10"/>
            <rFont val="Arial"/>
            <family val="2"/>
          </rPr>
          <t xml:space="preserve">(on-demand) </t>
        </r>
        <r>
          <rPr>
            <sz val="10"/>
            <rFont val="FreeSans"/>
            <family val="2"/>
          </rPr>
          <t xml:space="preserve">จึงต่ำกว่า </t>
        </r>
        <r>
          <rPr>
            <sz val="10"/>
            <rFont val="Arial"/>
            <family val="2"/>
          </rPr>
          <t xml:space="preserve">FPS</t>
        </r>
      </text>
    </comment>
  </commentList>
</comments>
</file>

<file path=xl/sharedStrings.xml><?xml version="1.0" encoding="utf-8"?>
<sst xmlns="http://schemas.openxmlformats.org/spreadsheetml/2006/main" count="247" uniqueCount="176">
  <si>
    <t xml:space="preserve">สรุปสถานะ Performance — build 194ccdd (feature/adaptive-quality)</t>
  </si>
  <si>
    <t xml:space="preserve">แยกผล 3 หมวด ห้ามอ่านรวมว่า "FPS ผ่านทั้งหมด"</t>
  </si>
  <si>
    <t xml:space="preserve">หมวด</t>
  </si>
  <si>
    <t xml:space="preserve">สถานะ</t>
  </si>
  <si>
    <t xml:space="preserve">เกณฑ์</t>
  </si>
  <si>
    <t xml:space="preserve">ผลที่วัดได้</t>
  </si>
  <si>
    <t xml:space="preserve">หลักฐาน (แผ่นงาน)</t>
  </si>
  <si>
    <t xml:space="preserve">Stability Pass</t>
  </si>
  <si>
    <t xml:space="preserve">ผ่าน</t>
  </si>
  <si>
    <t xml:space="preserve">ใช้งานต่อเนื่อง 10 นาที + เปิด–ปิด Layer ซ้ำ: Memory ไม่ไต่ขึ้น · ไม่มีวัตถุซ้ำ · ไม่มี Page Error</t>
  </si>
  <si>
    <t xml:space="preserve">Texture/Geometry/Program กลับค่าเดิมทุกรอบ · Heap แกว่ง 25–56 MB ไม่ไต่ · ลิฟต์ 1 / คน 0 / รถ 0 / Canvas 1 / Listener 1 · Page Error 0</t>
  </si>
  <si>
    <t xml:space="preserve">Foreground active-use result · Background-throttled (memory)</t>
  </si>
  <si>
    <t xml:space="preserve">Regression Pass</t>
  </si>
  <si>
    <t xml:space="preserve">build ใหม่ไม่ช้ากว่า ddc56f0 (FPS ลดไม่เกิน 2) ทุกกรณี</t>
  </si>
  <si>
    <t xml:space="preserve">ทึบ +0.8 · โปร่งใส+ลิฟต์ +0.1 · หนักสุด +3.6 FPS</t>
  </si>
  <si>
    <t xml:space="preserve">Performance (ตารางเทียบ)</t>
  </si>
  <si>
    <t xml:space="preserve">Performance Target Fail</t>
  </si>
  <si>
    <t xml:space="preserve">ไม่ผ่าน</t>
  </si>
  <si>
    <t xml:space="preserve">Desktop ≥ 45 FPS ทุกกรณีใช้งาน รวมกรณีหนักสุด</t>
  </si>
  <si>
    <t xml:space="preserve">Desktop หนักสุด 34.4 FPS (ต่ำกว่าเป้า) · โปร่งใส+ลิฟต์ 44.9 (ต่ำกว่าเป้าเล็กน้อย) · ทึบ 52.4 ถึงเป้า — เป็นปัญหาเดิมของ Layer คน/รถ (ddc56f0 ได้ 30.8)</t>
  </si>
  <si>
    <t xml:space="preserve">Performance</t>
  </si>
  <si>
    <t xml:space="preserve">Mobile Real Device Test</t>
  </si>
  <si>
    <t xml:space="preserve">Deferred by owner</t>
  </si>
  <si>
    <t xml:space="preserve">Mobile ≥ 30 FPS บนมือถือจริง</t>
  </si>
  <si>
    <t xml:space="preserve">Deferred by owner — ยังไม่ได้ทดสอบ ไม่ถือว่าผ่านหรือไม่ผ่าน และต้องทดสอบก่อน Production Release · คู่มือและ Bookmarklet เก็บไว้ที่ docs/reports/MOBILE-REAL-DEVICE-TEST.md และ scripts/perf/ · มีเพียง Mobile Viewport Simulation (ไม่ใช่มือถือจริง)</t>
  </si>
  <si>
    <t xml:space="preserve">Mobile Viewport Simulation</t>
  </si>
  <si>
    <t xml:space="preserve">Console Error = 0</t>
  </si>
  <si>
    <t xml:space="preserve">ผ่าน (404 = Stale/External)</t>
  </si>
  <si>
    <t xml:space="preserve">ไม่มี Console Error จากแอป</t>
  </si>
  <si>
    <t xml:space="preserve">Tab ใหม่ 2 ครั้งโหลด + ใช้งานครบทุกโหมด: Console 0 รายการ · Network ทุกคำขอ 200 · Resource Timing ไม่มีสถานะผิดปกติ — 404 เดิมไม่เกิดซ้ำ จัดเป็น Stale/External Console Entry</t>
  </si>
  <si>
    <t xml:space="preserve">Console 404</t>
  </si>
  <si>
    <t xml:space="preserve">งานที่ต้องทำภายหลัง (ไม่แก้ใน Checkpoint ลิฟต์)</t>
  </si>
  <si>
    <r>
      <rPr>
        <sz val="11"/>
        <color theme="1"/>
        <rFont val="Calibri"/>
        <family val="2"/>
        <charset val="1"/>
      </rPr>
      <t xml:space="preserve">• FPS </t>
    </r>
    <r>
      <rPr>
        <sz val="11"/>
        <color theme="1"/>
        <rFont val="FreeSans"/>
        <family val="2"/>
      </rPr>
      <t xml:space="preserve">กรณีหนักสุด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คน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รถ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โปร่งใส</t>
    </r>
    <r>
      <rPr>
        <sz val="11"/>
        <color theme="1"/>
        <rFont val="Calibri"/>
        <family val="2"/>
        <charset val="1"/>
      </rPr>
      <t xml:space="preserve">) → </t>
    </r>
    <r>
      <rPr>
        <sz val="11"/>
        <color theme="1"/>
        <rFont val="FreeSans"/>
        <family val="2"/>
      </rPr>
      <t xml:space="preserve">บันทึกเป็นงานของ </t>
    </r>
    <r>
      <rPr>
        <sz val="11"/>
        <color theme="1"/>
        <rFont val="Calibri"/>
        <family val="2"/>
        <charset val="1"/>
      </rPr>
      <t xml:space="preserve">Adaptive Quality / Mobility Optimization</t>
    </r>
  </si>
  <si>
    <r>
      <rPr>
        <sz val="11"/>
        <color theme="1"/>
        <rFont val="Calibri"/>
        <family val="2"/>
        <charset val="1"/>
      </rPr>
      <t xml:space="preserve">• Mobile Real Device Test: Deferred by owner — </t>
    </r>
    <r>
      <rPr>
        <sz val="11"/>
        <color theme="1"/>
        <rFont val="FreeSans"/>
        <family val="2"/>
      </rPr>
      <t xml:space="preserve">ต้องทดสอบบนมือถือจริง </t>
    </r>
    <r>
      <rPr>
        <sz val="11"/>
        <color theme="1"/>
        <rFont val="Calibri"/>
        <family val="2"/>
        <charset val="1"/>
      </rPr>
      <t xml:space="preserve">(Android + iPhone) </t>
    </r>
    <r>
      <rPr>
        <sz val="11"/>
        <color theme="1"/>
        <rFont val="FreeSans"/>
        <family val="2"/>
      </rPr>
      <t xml:space="preserve">ก่อน </t>
    </r>
    <r>
      <rPr>
        <sz val="11"/>
        <color theme="1"/>
        <rFont val="Calibri"/>
        <family val="2"/>
        <charset val="1"/>
      </rPr>
      <t xml:space="preserve">Production Release</t>
    </r>
  </si>
  <si>
    <r>
      <rPr>
        <sz val="11"/>
        <color theme="1"/>
        <rFont val="FreeSans"/>
        <family val="2"/>
      </rPr>
      <t xml:space="preserve">• เกณฑ์เดินหน้าพัฒนารอบนี้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ผล </t>
    </r>
    <r>
      <rPr>
        <sz val="11"/>
        <color theme="1"/>
        <rFont val="Calibri"/>
        <family val="2"/>
        <charset val="1"/>
      </rPr>
      <t xml:space="preserve">Desktop GPU </t>
    </r>
    <r>
      <rPr>
        <sz val="11"/>
        <color theme="1"/>
        <rFont val="FreeSans"/>
        <family val="2"/>
      </rPr>
      <t xml:space="preserve">จริง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ตัดสินโดยเจ้าของงาน</t>
    </r>
    <r>
      <rPr>
        <sz val="11"/>
        <color theme="1"/>
        <rFont val="Calibri"/>
        <family val="2"/>
        <charset val="1"/>
      </rPr>
      <t xml:space="preserve">)</t>
    </r>
  </si>
  <si>
    <t xml:space="preserve">Performance บน GPU จริง — build ใหม่ (194ccdd) เทียบ ddc56f0</t>
  </si>
  <si>
    <t xml:space="preserve">Intel Iris Xe (D3D11) · Desktop · ความละเอียดภาพ (pixel ratio) 1.25 · วัดหลัง warm-up 2–3 วิ นาน 8–10 วิ · 17 ต.ค. 2569</t>
  </si>
  <si>
    <t xml:space="preserve">เป้าหมาย FPS เฉลี่ย (Desktop)</t>
  </si>
  <si>
    <t xml:space="preserve">กรณี</t>
  </si>
  <si>
    <t xml:space="preserve">Build</t>
  </si>
  <si>
    <t xml:space="preserve">FPS เฉลี่ย</t>
  </si>
  <si>
    <t xml:space="preserve">FPS ค่ากลาง</t>
  </si>
  <si>
    <t xml:space="preserve">เฟรมที่วาดจริง/วิ</t>
  </si>
  <si>
    <t xml:space="preserve">p95 frame time (ms)</t>
  </si>
  <si>
    <t xml:space="preserve">เฟรม &gt; 50 ms</t>
  </si>
  <si>
    <t xml:space="preserve">เฟรม &gt; 100 ms</t>
  </si>
  <si>
    <t xml:space="preserve">Long Tasks</t>
  </si>
  <si>
    <t xml:space="preserve">GPU ค่ากลาง (ms)</t>
  </si>
  <si>
    <t xml:space="preserve">GPU p95 (ms)</t>
  </si>
  <si>
    <t xml:space="preserve">CPU render ค่ากลาง (ms)</t>
  </si>
  <si>
    <t xml:space="preserve">CPU render p95 (ms)</t>
  </si>
  <si>
    <t xml:space="preserve">Draw Calls</t>
  </si>
  <si>
    <t xml:space="preserve">Triangles</t>
  </si>
  <si>
    <t xml:space="preserve">JS Heap (MB)</t>
  </si>
  <si>
    <t xml:space="preserve">ถึงเป้า?</t>
  </si>
  <si>
    <t xml:space="preserve">ทึบ</t>
  </si>
  <si>
    <t xml:space="preserve">ใหม่ 194ccdd</t>
  </si>
  <si>
    <t xml:space="preserve">ddc56f0</t>
  </si>
  <si>
    <t xml:space="preserve">โปร่งใส + ลิฟต์</t>
  </si>
  <si>
    <t xml:space="preserve">หนักสุด: โปร่งใส + คน + รถ + ลิฟต์ + เซนเซอร์/แจ้งเตือน</t>
  </si>
  <si>
    <t xml:space="preserve">เทียบ build ใหม่ − ddc56f0</t>
  </si>
  <si>
    <t xml:space="preserve">Δ FPS เฉลี่ย</t>
  </si>
  <si>
    <t xml:space="preserve">Δ GPU ค่ากลาง (ms)</t>
  </si>
  <si>
    <t xml:space="preserve">Δ Draw Calls</t>
  </si>
  <si>
    <t xml:space="preserve">ผล</t>
  </si>
  <si>
    <t xml:space="preserve">หมายเหตุ</t>
  </si>
  <si>
    <t xml:space="preserve">• ตัวเลขสีน้ำเงิน = ค่าที่วัดได้จริงบนเบราว์เซอร์ในแอป Claude (Intel Iris Xe) · คอลัมน์ "ถึงเป้า?" และตารางเทียบ คำนวณด้วยสูตร</t>
  </si>
  <si>
    <t xml:space="preserve">• Regression Pass: ทุกกรณี build ใหม่เท่าหรือดีกว่า ddc56f0 (เกณฑ์ "ไม่ถอยหลัง" = FPS ลดลงไม่เกิน 2) — ไม่ได้แปลว่าถึงเป้า FPS</t>
  </si>
  <si>
    <t xml:space="preserve">• Performance Target Fail: กรณีหนักสุด 34.4 FPS ต่ำกว่าเป้า 45 (โปร่งใส+ลิฟต์ 44.9 ต่ำกว่าเล็กน้อย) — ปัญหาเดิมจาก Layer คน/รถ บันทึกเป็นงาน Adaptive Quality / Mobility Optimization ภายหลัง ไม่แก้ใน Checkpoint ลิฟต์</t>
  </si>
  <si>
    <t xml:space="preserve">• "FPS เฉลี่ย" = จำนวนเฟรมต่อวินาทีตลอดช่วงวัด · "FPS ค่ากลาง" มาจาก frame time ค่ากลาง (30 = เฟรมส่วนใหญ่ใช้ 2 รอบจอ)</t>
  </si>
  <si>
    <t xml:space="preserve">• รอบวัดก่อนหน้าที่เครื่องจำกัดการวาด 30 FPS (หน้าต่างไม่อยู่ในโฟกัส) ไม่นำมารวม</t>
  </si>
  <si>
    <t xml:space="preserve">• ผลใช้งานต่อเนื่อง 10 นาที และโหมดจำลองมือถือ อยู่ในแผ่นงานถัดไป (แยกชื่อชัดเจน)</t>
  </si>
  <si>
    <t xml:space="preserve">Background-throttled observation — ใช้ดู Memory เท่านั้น</t>
  </si>
  <si>
    <t xml:space="preserve">หน้าต่างเสียโฟกัส/ถูกบังระหว่างรอบนี้ เบราว์เซอร์จำกัดการวาด (30 Hz / 1 Hz) → ห้ามใช้ FPS ของรอบนี้ตัดสิน Performance</t>
  </si>
  <si>
    <t xml:space="preserve">build 194ccdd · feature-adaptive-quality preview · Intel Iris Xe · pixel ratio 1.25 · 10 นาที</t>
  </si>
  <si>
    <t xml:space="preserve">จุดวัด</t>
  </si>
  <si>
    <t xml:space="preserve">เวลา</t>
  </si>
  <si>
    <t xml:space="preserve">Textures</t>
  </si>
  <si>
    <t xml:space="preserve">Geometries</t>
  </si>
  <si>
    <t xml:space="preserve">Programs</t>
  </si>
  <si>
    <t xml:space="preserve">JS Heap ใช้จริง (MB)</t>
  </si>
  <si>
    <t xml:space="preserve">JS Heap จอง (MB)</t>
  </si>
  <si>
    <t xml:space="preserve">FPS</t>
  </si>
  <si>
    <t xml:space="preserve">เริ่มต้น</t>
  </si>
  <si>
    <t xml:space="preserve">0.25 นาที</t>
  </si>
  <si>
    <t xml:space="preserve">ไม่ใช้ (ถูกจำกัด)</t>
  </si>
  <si>
    <t xml:space="preserve">Memory observation</t>
  </si>
  <si>
    <t xml:space="preserve">หลังจบ · ปิดทุก Layer · ทึบ · ทั้งอาคาร (อ่านครั้งที่ 1)</t>
  </si>
  <si>
    <t xml:space="preserve">+60 วิ</t>
  </si>
  <si>
    <t xml:space="preserve">หลังจบ (อ่านครั้งที่ 2)</t>
  </si>
  <si>
    <t xml:space="preserve">+80 วิ</t>
  </si>
  <si>
    <t xml:space="preserve">หลังจบ (อ่านครั้งที่ 3)</t>
  </si>
  <si>
    <t xml:space="preserve">+130 วิ</t>
  </si>
  <si>
    <t xml:space="preserve">Δ หลังจบ − เริ่มต้น (สูตร)</t>
  </si>
  <si>
    <t xml:space="preserve">ตรวจวัตถุซ้ำหลังจบ</t>
  </si>
  <si>
    <t xml:space="preserve">รายการ</t>
  </si>
  <si>
    <t xml:space="preserve">ค่าที่วัด</t>
  </si>
  <si>
    <t xml:space="preserve">ค่าที่ควรเป็น</t>
  </si>
  <si>
    <t xml:space="preserve">ชุดลิฟต์ในฉาก (liftRigs)</t>
  </si>
  <si>
    <t xml:space="preserve">กลุ่มคนจำลอง</t>
  </si>
  <si>
    <t xml:space="preserve">กลุ่มรถจำลอง</t>
  </si>
  <si>
    <t xml:space="preserve">Canvas WebGL</t>
  </si>
  <si>
    <t xml:space="preserve">Listener ของ ElevatorService</t>
  </si>
  <si>
    <t xml:space="preserve">ระบบจำลองคน/รถยังทำงาน</t>
  </si>
  <si>
    <t xml:space="preserve">false</t>
  </si>
  <si>
    <t xml:space="preserve">Page error</t>
  </si>
  <si>
    <t xml:space="preserve">Console error ของแอป (หลังตรวจซ้ำ)</t>
  </si>
  <si>
    <t xml:space="preserve">ข้อสังเกต</t>
  </si>
  <si>
    <t xml:space="preserve">• Geometries/Programs หลังจบสูงกว่าตอนเริ่ม เพราะตอนเริ่มยังไม่เคยเปิดโหมดอื่น — หลังเปิดแล้ว shader/geometry ถูก cache ไว้ และค่าคงที่ตลอด 3 ครั้งที่อ่าน (ไม่ไต่ขึ้น)</t>
  </si>
  <si>
    <t xml:space="preserve">• JS Heap ขยับขึ้นเล็กน้อยระหว่าง 3 ครั้งที่อ่าน (ช่วงที่ Garbage Collector ยังไม่ทำงาน) — ใช้รอบ Foreground ยืนยันแนวโน้ม</t>
  </si>
  <si>
    <t xml:space="preserve">Foreground active-use result — ใช้งานต่อเนื่อง 10 นาที (หน้าต่างเปิดอยู่ด้านหน้า)</t>
  </si>
  <si>
    <t xml:space="preserve">build 194ccdd · Intel Iris Xe (D3D11) · Desktop · pixel ratio 1.25 · วนทุก 15 วิ: ปิดคน/รถ·ทึบ → เปิดคน → เปิดรถ·โปร่งใส → ชั้นเดี่ยว 3 → ทั้งอาคาร·ลิฟต์ไปชั้น 5 → ปิดคน·โครงอาคาร → ปิดรถ·2D → 3D·ลิฟต์ไป G</t>
  </si>
  <si>
    <t xml:space="preserve">นาที</t>
  </si>
  <si>
    <t xml:space="preserve">ขั้นที่ทำในนาทีนี้</t>
  </si>
  <si>
    <t xml:space="preserve">frame time ค่ากลาง (ms)</t>
  </si>
  <si>
    <t xml:space="preserve">p95 (ms)</t>
  </si>
  <si>
    <t xml:space="preserve">Console Error สะสม</t>
  </si>
  <si>
    <t xml:space="preserve">วินาทีที่มีโฟกัส</t>
  </si>
  <si>
    <t xml:space="preserve">วินาทีที่มองเห็น</t>
  </si>
  <si>
    <t xml:space="preserve">ใช้ FPS ได้?</t>
  </si>
  <si>
    <t xml:space="preserve">ปิดคน/รถ · ทึบ · 3D</t>
  </si>
  <si>
    <t xml:space="preserve">ปิดคน/รถ · ทึบ → เปิดคน → เปิดรถ · โปร่งใส → ชั้นเดี่ยว 3</t>
  </si>
  <si>
    <t xml:space="preserve">ทั้งอาคาร · ลิฟต์ไปชั้น 5 → ปิดคน · โครงอาคาร → ปิดรถ · 2D → 3D · ลิฟต์ไป G</t>
  </si>
  <si>
    <t xml:space="preserve">หลังจบ +60 วิ</t>
  </si>
  <si>
    <t xml:space="preserve">ปิดทุก Layer · ทึบ · ทั้งอาคาร · 3D</t>
  </si>
  <si>
    <t xml:space="preserve">หลังจบ +80 วิ</t>
  </si>
  <si>
    <t xml:space="preserve">หลังจบ +100 วิ</t>
  </si>
  <si>
    <t xml:space="preserve">สรุป (สูตร)</t>
  </si>
  <si>
    <t xml:space="preserve">FPS เฉลี่ยของนาทีที่ใช้ได้</t>
  </si>
  <si>
    <t xml:space="preserve">FPS ต่ำสุดของนาทีที่ใช้ได้</t>
  </si>
  <si>
    <t xml:space="preserve">จำนวนนาทีที่ตัดออก (เสียโฟกัส/ถูกบัง)</t>
  </si>
  <si>
    <t xml:space="preserve">JS Heap ใช้จริง สูงสุดระหว่างใช้งาน (MB)</t>
  </si>
  <si>
    <t xml:space="preserve">JS Heap ใช้จริง หลังจบ เฉลี่ย 3 ครั้ง (MB)</t>
  </si>
  <si>
    <t xml:space="preserve">Δ JS Heap หลังจบ − เริ่มต้น (MB)</t>
  </si>
  <si>
    <t xml:space="preserve">Δ Textures หลังจบ − เริ่มต้น</t>
  </si>
  <si>
    <t xml:space="preserve">Δ Geometries หลังจบ − เริ่มต้น</t>
  </si>
  <si>
    <t xml:space="preserve">Δ Programs หลังจบ − เริ่มต้น</t>
  </si>
  <si>
    <t xml:space="preserve">Console/Page Error ของแอประหว่างทดสอบ</t>
  </si>
  <si>
    <t xml:space="preserve">ตรวจวัตถุซ้ำหลังจบ (ทั้ง 3 ครั้งเหมือนกัน)</t>
  </si>
  <si>
    <t xml:space="preserve">ชุดลิฟต์ในฉาก</t>
  </si>
  <si>
    <t xml:space="preserve">• แถวสีส้ม = นาทีที่มีช่วงหน้าต่างถูกบัง/เสียโฟกัส (นาที 8 มองเห็น 38 วิ, นาที 9 มองเห็น 57 วิ) — ไม่นำ FPS มาตัดสิน</t>
  </si>
  <si>
    <t xml:space="preserve">• "เฟรมที่วาดจริง/วิ" ต่ำกว่า FPS ในนาทีคู่ เพราะช่วงนั้นมีโหมด 2D 15 วิ (ไม่วาด 3D โดยตั้งใจ) — ไม่ใช่อาการกระตุก</t>
  </si>
  <si>
    <t xml:space="preserve">• FPS ทุกนาทีที่ใช้ได้ ≥ 45 แม้มีช่วงเปิดคน/รถ/โปร่งใส เพราะแต่ละนาทีผสมทั้งช่วงหนักและเบา — ค่ากรณีหนักสุดต่อเนื่องดูที่แผ่น Performance</t>
  </si>
  <si>
    <t xml:space="preserve">• Textures/Geometries/Programs ขึ้นลงตามโหมดที่เปิด และกลับมาค่าเดิมทุกรอบที่ปิด (12 textures) — ไม่เพิ่มต่อเนื่อง</t>
  </si>
  <si>
    <t xml:space="preserve">• JS Heap แกว่ง 25–56 MB ตาม Garbage Collector ไม่มีแนวโน้มไต่ขึ้นตลอด 10 นาที</t>
  </si>
  <si>
    <t xml:space="preserve">• Console: 404 หนึ่งรายการในแท็บเดิม — ตรวจซ้ำในแท็บใหม่แล้วไม่เกิด จัดเป็น Stale/External Console Entry (ดูแผ่น Console 404)</t>
  </si>
  <si>
    <t xml:space="preserve">Mobile Viewport Simulation — ไม่ใช่มือถือจริง</t>
  </si>
  <si>
    <t xml:space="preserve">จำลองขนาดจอ 390×844 ในเบราว์เซอร์ Desktop (Intel Iris Xe) · ยังใช้ GPU/CPU ของ Desktop · pixel ratio บังคับ 1.25 (มือถือจริงมัก 2–3) · Canvas 3D 438×567 px</t>
  </si>
  <si>
    <t xml:space="preserve">เป้าหมาย FPS เฉลี่ย (Mobile)</t>
  </si>
  <si>
    <t xml:space="preserve">Long Task สูงสุด (ms)</t>
  </si>
  <si>
    <t xml:space="preserve">เฟรมที่เสียโฟกัส</t>
  </si>
  <si>
    <t xml:space="preserve">ถึงเป้าจำลอง?</t>
  </si>
  <si>
    <t xml:space="preserve">ทึบ · ทั้งอาคาร</t>
  </si>
  <si>
    <t xml:space="preserve">หลังจบ: ปิดทุก Layer · ทึบ (รอ 30 วิ)</t>
  </si>
  <si>
    <t xml:space="preserve">• ผลนี้ไม่ใช่ผลมือถือจริง: วัดเพียงผลของจอเล็ก/Layout มือถือบน GPU Desktop</t>
  </si>
  <si>
    <t xml:space="preserve">• Mobile Real Device Test: Deferred by owner — ยังไม่ได้ทดสอบ ไม่ถือว่าผ่านหรือไม่ผ่าน และต้องทดสอบก่อน Production Release</t>
  </si>
  <si>
    <t xml:space="preserve">• Canvas เล็กกว่า Desktop มาก จึงใช้ GPU น้อยกว่า (หนักสุด 10.5 ms เทียบ 16.1 ms บน Desktop)</t>
  </si>
  <si>
    <t xml:space="preserve">• Console: ไม่มี page error ระหว่างวัด · 404 ในแท็บเดิมตรวจซ้ำแล้วเป็น Stale/External Console Entry</t>
  </si>
  <si>
    <t xml:space="preserve">• คืนขนาดหน้าต่างเป็น Desktop แล้วหลังวัด</t>
  </si>
  <si>
    <t xml:space="preserve">ตรวจ Console 404 — Browser tab ใหม่ ล้าง Console/Network แล้วโหลด build เดิม</t>
  </si>
  <si>
    <t xml:space="preserve">ที่มาของ 404 เดิม</t>
  </si>
  <si>
    <t xml:space="preserve">พบเฉพาะในแท็บทดสอบเดิม (seed) ที่เคยเปิด URL อื่นมาก่อนหลายครั้ง · ไม่พบใน network log ของแท็บนั้นเลย (ทุกคำขอ 200/304) และหน้าเว็บไม่บันทึก error</t>
  </si>
  <si>
    <t xml:space="preserve">วิธีตรวจซ้ำ</t>
  </si>
  <si>
    <t xml:space="preserve">เปิด Browser tab ใหม่ (Console/Network ว่าง) → โหลด build 194ccdd บน Preview → ดักจับ error ของ resource ใน capture phase + unhandledrejection → ใช้งานครบ: คน, รถ, โปร่งใส, โครงอาคาร, ชั้นเดี่ยว 3 และ 11, ทั้งอาคาร, ลิฟต์ไปชั้น 5, สถานการณ์ทั้งสองเหตุการณ์, 2D, 3D, รีเซ็ต → โหลดซ้ำอีกครั้ง</t>
  </si>
  <si>
    <t xml:space="preserve">Console (ทุกระดับ)</t>
  </si>
  <si>
    <t xml:space="preserve">0 รายการ ทั้งสองครั้งที่โหลด</t>
  </si>
  <si>
    <t xml:space="preserve">Network</t>
  </si>
  <si>
    <t xml:space="preserve">20 คำขอ ทุกคำขอ 200 (document, JS, CSS, fortune.glb, floor-3/11.glb, rooms-3/11.json, person.glb, sedan.glb, ผัง .webp, mobility JSON)</t>
  </si>
  <si>
    <t xml:space="preserve">Resource Timing (responseStatus)</t>
  </si>
  <si>
    <t xml:space="preserve">20 รายการ ไม่มีสถานะ 4xx/5xx</t>
  </si>
  <si>
    <t xml:space="preserve">Resource error / Page error / Promise rejection</t>
  </si>
  <si>
    <t xml:space="preserve">0 / 0 / 0</t>
  </si>
  <si>
    <t xml:space="preserve">Request URL · Initiator · Resource Type</t>
  </si>
  <si>
    <t xml:space="preserve">ไม่มี — 404 ไม่เกิดซ้ำ</t>
  </si>
  <si>
    <t xml:space="preserve">การจัดประเภท</t>
  </si>
  <si>
    <t xml:space="preserve">Stale/External Console Entry — ไม่ใช่ error ของแอป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</si>
</sst>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.00"/>
    <numFmt numFmtId="167" formatCode="#,##0"/>
    <numFmt numFmtId="168" formatCode="\+0.0;\-0.0;0.0"/>
    <numFmt numFmtId="169" formatCode="\+0.00;\-0.00;0.00"/>
    <numFmt numFmtId="170" formatCode="\+0;\-0;0"/>
    <numFmt numFmtId="171" formatCode="General"/>
    <numFmt numFmtId="172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FreeSans"/>
      <family val="2"/>
    </font>
    <font>
      <i val="true"/>
      <sz val="11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E7EE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08080"/>
      <rgbColor rgb="FF9999FF"/>
      <rgbColor rgb="FF993366"/>
      <rgbColor rgb="FFFCE4D6"/>
      <rgbColor rgb="FFDDE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6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61.5" hidden="false" customHeight="true" outlineLevel="0" collapsed="false">
      <c r="A5" s="4" t="s">
        <v>7</v>
      </c>
      <c r="B5" s="5" t="s">
        <v>8</v>
      </c>
      <c r="C5" s="6" t="s">
        <v>9</v>
      </c>
      <c r="D5" s="6" t="s">
        <v>10</v>
      </c>
      <c r="E5" s="6" t="s">
        <v>11</v>
      </c>
    </row>
    <row r="6" customFormat="false" ht="61.5" hidden="false" customHeight="true" outlineLevel="0" collapsed="false">
      <c r="A6" s="4" t="s">
        <v>12</v>
      </c>
      <c r="B6" s="5" t="s">
        <v>8</v>
      </c>
      <c r="C6" s="6" t="s">
        <v>13</v>
      </c>
      <c r="D6" s="6" t="s">
        <v>14</v>
      </c>
      <c r="E6" s="6" t="s">
        <v>15</v>
      </c>
    </row>
    <row r="7" customFormat="false" ht="61.5" hidden="false" customHeight="true" outlineLevel="0" collapsed="false">
      <c r="A7" s="4" t="s">
        <v>16</v>
      </c>
      <c r="B7" s="7" t="s">
        <v>17</v>
      </c>
      <c r="C7" s="6" t="s">
        <v>18</v>
      </c>
      <c r="D7" s="6" t="s">
        <v>19</v>
      </c>
      <c r="E7" s="6" t="s">
        <v>20</v>
      </c>
    </row>
    <row r="8" customFormat="false" ht="61.5" hidden="false" customHeight="true" outlineLevel="0" collapsed="false">
      <c r="A8" s="4" t="s">
        <v>21</v>
      </c>
      <c r="B8" s="8" t="s">
        <v>22</v>
      </c>
      <c r="C8" s="6" t="s">
        <v>23</v>
      </c>
      <c r="D8" s="6" t="s">
        <v>24</v>
      </c>
      <c r="E8" s="6" t="s">
        <v>25</v>
      </c>
    </row>
    <row r="9" customFormat="false" ht="61.5" hidden="false" customHeight="true" outlineLevel="0" collapsed="false">
      <c r="A9" s="4" t="s">
        <v>26</v>
      </c>
      <c r="B9" s="5" t="s">
        <v>27</v>
      </c>
      <c r="C9" s="6" t="s">
        <v>28</v>
      </c>
      <c r="D9" s="6" t="s">
        <v>29</v>
      </c>
      <c r="E9" s="6" t="s">
        <v>30</v>
      </c>
    </row>
    <row r="11" customFormat="false" ht="15" hidden="false" customHeight="false" outlineLevel="0" collapsed="false">
      <c r="A11" s="9" t="s">
        <v>31</v>
      </c>
    </row>
    <row r="12" customFormat="false" ht="15" hidden="false" customHeight="false" outlineLevel="0" collapsed="false">
      <c r="A12" s="0" t="s">
        <v>32</v>
      </c>
    </row>
    <row r="13" customFormat="false" ht="15" hidden="false" customHeight="false" outlineLevel="0" collapsed="false">
      <c r="A13" s="0" t="s">
        <v>33</v>
      </c>
    </row>
    <row r="14" customFormat="false" ht="15" hidden="false" customHeight="false" outlineLevel="0" collapsed="false">
      <c r="A14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2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11" t="s">
        <v>36</v>
      </c>
    </row>
    <row r="3" customFormat="false" ht="15" hidden="false" customHeight="false" outlineLevel="0" collapsed="false">
      <c r="A3" s="9" t="s">
        <v>37</v>
      </c>
      <c r="B3" s="12" t="n">
        <v>45</v>
      </c>
    </row>
    <row r="5" customFormat="false" ht="45" hidden="false" customHeight="true" outlineLevel="0" collapsed="false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51</v>
      </c>
      <c r="O5" s="3" t="s">
        <v>52</v>
      </c>
      <c r="P5" s="3" t="s">
        <v>53</v>
      </c>
      <c r="Q5" s="3" t="s">
        <v>54</v>
      </c>
    </row>
    <row r="6" customFormat="false" ht="15" hidden="false" customHeight="false" outlineLevel="0" collapsed="false">
      <c r="A6" s="13" t="s">
        <v>55</v>
      </c>
      <c r="B6" s="13" t="s">
        <v>56</v>
      </c>
      <c r="C6" s="14" t="n">
        <v>52.4</v>
      </c>
      <c r="D6" s="14" t="n">
        <v>59.5</v>
      </c>
      <c r="E6" s="14" t="n">
        <v>52.8</v>
      </c>
      <c r="F6" s="15" t="n">
        <v>33.3</v>
      </c>
      <c r="G6" s="16" t="n">
        <v>0</v>
      </c>
      <c r="H6" s="16" t="n">
        <v>0</v>
      </c>
      <c r="I6" s="16" t="n">
        <v>0</v>
      </c>
      <c r="J6" s="15" t="n">
        <v>8.04</v>
      </c>
      <c r="K6" s="15" t="n">
        <v>10.09</v>
      </c>
      <c r="L6" s="15" t="n">
        <v>12</v>
      </c>
      <c r="M6" s="15"/>
      <c r="N6" s="17" t="n">
        <v>233</v>
      </c>
      <c r="O6" s="17" t="n">
        <v>247711</v>
      </c>
      <c r="P6" s="14" t="n">
        <v>17</v>
      </c>
      <c r="Q6" s="13" t="str">
        <f aca="false">IF(C6&gt;=$B$3,"ถึงเป้า","ต่ำกว่าเป้า")</f>
        <v>ถึงเป้า</v>
      </c>
    </row>
    <row r="7" customFormat="false" ht="15" hidden="false" customHeight="false" outlineLevel="0" collapsed="false">
      <c r="A7" s="13" t="s">
        <v>55</v>
      </c>
      <c r="B7" s="13" t="s">
        <v>57</v>
      </c>
      <c r="C7" s="14" t="n">
        <v>51.6</v>
      </c>
      <c r="D7" s="14" t="n">
        <v>59.9</v>
      </c>
      <c r="E7" s="14"/>
      <c r="F7" s="15" t="n">
        <v>33.4</v>
      </c>
      <c r="G7" s="16" t="n">
        <v>0</v>
      </c>
      <c r="H7" s="16" t="n">
        <v>0</v>
      </c>
      <c r="I7" s="16" t="n">
        <v>0</v>
      </c>
      <c r="J7" s="15" t="n">
        <v>8.16</v>
      </c>
      <c r="K7" s="15" t="n">
        <v>9.57</v>
      </c>
      <c r="L7" s="15" t="n">
        <v>8.7</v>
      </c>
      <c r="M7" s="15" t="n">
        <v>15.6</v>
      </c>
      <c r="N7" s="17" t="n">
        <v>229</v>
      </c>
      <c r="O7" s="17" t="n">
        <v>247151</v>
      </c>
      <c r="P7" s="14" t="n">
        <v>43.4</v>
      </c>
      <c r="Q7" s="13" t="str">
        <f aca="false">IF(C7&gt;=$B$3,"ถึงเป้า","ต่ำกว่าเป้า")</f>
        <v>ถึงเป้า</v>
      </c>
    </row>
    <row r="8" customFormat="false" ht="15" hidden="false" customHeight="false" outlineLevel="0" collapsed="false">
      <c r="A8" s="13" t="s">
        <v>58</v>
      </c>
      <c r="B8" s="13" t="s">
        <v>56</v>
      </c>
      <c r="C8" s="14" t="n">
        <v>44.9</v>
      </c>
      <c r="D8" s="14" t="n">
        <v>58.5</v>
      </c>
      <c r="E8" s="14" t="n">
        <v>45</v>
      </c>
      <c r="F8" s="15" t="n">
        <v>35.1</v>
      </c>
      <c r="G8" s="16" t="n">
        <v>4</v>
      </c>
      <c r="H8" s="16" t="n">
        <v>0</v>
      </c>
      <c r="I8" s="16" t="n">
        <v>1</v>
      </c>
      <c r="J8" s="15" t="n">
        <v>15.55</v>
      </c>
      <c r="K8" s="15" t="n">
        <v>15.96</v>
      </c>
      <c r="L8" s="15" t="n">
        <v>14.2</v>
      </c>
      <c r="M8" s="15"/>
      <c r="N8" s="17" t="n">
        <v>233</v>
      </c>
      <c r="O8" s="17" t="n">
        <v>247711</v>
      </c>
      <c r="P8" s="14" t="n">
        <v>20</v>
      </c>
      <c r="Q8" s="13" t="str">
        <f aca="false">IF(C8&gt;=$B$3,"ถึงเป้า","ต่ำกว่าเป้า")</f>
        <v>ต่ำกว่าเป้า</v>
      </c>
    </row>
    <row r="9" customFormat="false" ht="15" hidden="false" customHeight="false" outlineLevel="0" collapsed="false">
      <c r="A9" s="13" t="s">
        <v>58</v>
      </c>
      <c r="B9" s="13" t="s">
        <v>57</v>
      </c>
      <c r="C9" s="14" t="n">
        <v>44.8</v>
      </c>
      <c r="D9" s="14" t="n">
        <v>59.9</v>
      </c>
      <c r="E9" s="14"/>
      <c r="F9" s="15" t="n">
        <v>33.4</v>
      </c>
      <c r="G9" s="16" t="n">
        <v>1</v>
      </c>
      <c r="H9" s="16" t="n">
        <v>0</v>
      </c>
      <c r="I9" s="16" t="n">
        <v>0</v>
      </c>
      <c r="J9" s="15" t="n">
        <v>13.78</v>
      </c>
      <c r="K9" s="15" t="n">
        <v>15.99</v>
      </c>
      <c r="L9" s="15" t="n">
        <v>7</v>
      </c>
      <c r="M9" s="15" t="n">
        <v>14.4</v>
      </c>
      <c r="N9" s="17" t="n">
        <v>225</v>
      </c>
      <c r="O9" s="17" t="n">
        <v>246295</v>
      </c>
      <c r="P9" s="14" t="n">
        <v>45</v>
      </c>
      <c r="Q9" s="13" t="str">
        <f aca="false">IF(C9&gt;=$B$3,"ถึงเป้า","ต่ำกว่าเป้า")</f>
        <v>ต่ำกว่าเป้า</v>
      </c>
    </row>
    <row r="10" customFormat="false" ht="15" hidden="false" customHeight="false" outlineLevel="0" collapsed="false">
      <c r="A10" s="13" t="s">
        <v>59</v>
      </c>
      <c r="B10" s="13" t="s">
        <v>56</v>
      </c>
      <c r="C10" s="14" t="n">
        <v>34.4</v>
      </c>
      <c r="D10" s="14" t="n">
        <v>30.3</v>
      </c>
      <c r="E10" s="14" t="n">
        <v>34.5</v>
      </c>
      <c r="F10" s="15" t="n">
        <v>49.8</v>
      </c>
      <c r="G10" s="16" t="n">
        <v>13</v>
      </c>
      <c r="H10" s="16" t="n">
        <v>0</v>
      </c>
      <c r="I10" s="16" t="n">
        <v>5</v>
      </c>
      <c r="J10" s="15" t="n">
        <v>16.1</v>
      </c>
      <c r="K10" s="15" t="n">
        <v>22.98</v>
      </c>
      <c r="L10" s="15" t="n">
        <v>14.6</v>
      </c>
      <c r="M10" s="15" t="n">
        <v>23.6</v>
      </c>
      <c r="N10" s="17" t="n">
        <v>284</v>
      </c>
      <c r="O10" s="17" t="n">
        <v>256655</v>
      </c>
      <c r="P10" s="14" t="n">
        <v>24</v>
      </c>
      <c r="Q10" s="13" t="str">
        <f aca="false">IF(C10&gt;=$B$3,"ถึงเป้า","ต่ำกว่าเป้า")</f>
        <v>ต่ำกว่าเป้า</v>
      </c>
    </row>
    <row r="11" customFormat="false" ht="15" hidden="false" customHeight="false" outlineLevel="0" collapsed="false">
      <c r="A11" s="13" t="s">
        <v>59</v>
      </c>
      <c r="B11" s="13" t="s">
        <v>57</v>
      </c>
      <c r="C11" s="14" t="n">
        <v>30.8</v>
      </c>
      <c r="D11" s="14" t="n">
        <v>30.1</v>
      </c>
      <c r="E11" s="14" t="n">
        <v>31.1</v>
      </c>
      <c r="F11" s="15" t="n">
        <v>50.2</v>
      </c>
      <c r="G11" s="16" t="n">
        <v>17</v>
      </c>
      <c r="H11" s="16" t="n">
        <v>0</v>
      </c>
      <c r="I11" s="16" t="n">
        <v>6</v>
      </c>
      <c r="J11" s="15" t="n">
        <v>19.67</v>
      </c>
      <c r="K11" s="15" t="n">
        <v>23.7</v>
      </c>
      <c r="L11" s="15" t="n">
        <v>17.6</v>
      </c>
      <c r="M11" s="15" t="n">
        <v>27</v>
      </c>
      <c r="N11" s="17" t="n">
        <v>291</v>
      </c>
      <c r="O11" s="17" t="n">
        <v>256669</v>
      </c>
      <c r="P11" s="14" t="n">
        <v>22.6</v>
      </c>
      <c r="Q11" s="13" t="str">
        <f aca="false">IF(C11&gt;=$B$3,"ถึงเป้า","ต่ำกว่าเป้า")</f>
        <v>ต่ำกว่าเป้า</v>
      </c>
    </row>
    <row r="13" customFormat="false" ht="15" hidden="false" customHeight="false" outlineLevel="0" collapsed="false">
      <c r="A13" s="18" t="s">
        <v>60</v>
      </c>
    </row>
    <row r="14" customFormat="false" ht="26.85" hidden="false" customHeight="false" outlineLevel="0" collapsed="false">
      <c r="A14" s="19" t="s">
        <v>38</v>
      </c>
      <c r="B14" s="19" t="s">
        <v>61</v>
      </c>
      <c r="C14" s="19" t="s">
        <v>62</v>
      </c>
      <c r="D14" s="19" t="s">
        <v>63</v>
      </c>
      <c r="E14" s="19" t="s">
        <v>64</v>
      </c>
    </row>
    <row r="15" customFormat="false" ht="15" hidden="false" customHeight="false" outlineLevel="0" collapsed="false">
      <c r="A15" s="13" t="str">
        <f aca="false">A6</f>
        <v>ทึบ</v>
      </c>
      <c r="B15" s="20" t="n">
        <f aca="false">C6-C7</f>
        <v>0.799999999999997</v>
      </c>
      <c r="C15" s="21" t="n">
        <f aca="false">J6-J7</f>
        <v>-0.120000000000001</v>
      </c>
      <c r="D15" s="22" t="n">
        <f aca="false">N6-N7</f>
        <v>4</v>
      </c>
      <c r="E15" s="13" t="str">
        <f aca="false">IF(B15&gt;=-2,"ไม่ถอยหลัง","ถอยหลัง")</f>
        <v>ไม่ถอยหลัง</v>
      </c>
    </row>
    <row r="16" customFormat="false" ht="15" hidden="false" customHeight="false" outlineLevel="0" collapsed="false">
      <c r="A16" s="13" t="str">
        <f aca="false">A8</f>
        <v>โปร่งใส + ลิฟต์</v>
      </c>
      <c r="B16" s="20" t="n">
        <f aca="false">C8-C9</f>
        <v>0.100000000000001</v>
      </c>
      <c r="C16" s="21" t="n">
        <f aca="false">J8-J9</f>
        <v>1.77</v>
      </c>
      <c r="D16" s="22" t="n">
        <f aca="false">N8-N9</f>
        <v>8</v>
      </c>
      <c r="E16" s="13" t="str">
        <f aca="false">IF(B16&gt;=-2,"ไม่ถอยหลัง","ถอยหลัง")</f>
        <v>ไม่ถอยหลัง</v>
      </c>
    </row>
    <row r="17" customFormat="false" ht="15" hidden="false" customHeight="false" outlineLevel="0" collapsed="false">
      <c r="A17" s="13" t="str">
        <f aca="false">A10</f>
        <v>หนักสุด: โปร่งใส + คน + รถ + ลิฟต์ + เซนเซอร์/แจ้งเตือน</v>
      </c>
      <c r="B17" s="20" t="n">
        <f aca="false">C10-C11</f>
        <v>3.6</v>
      </c>
      <c r="C17" s="21" t="n">
        <f aca="false">J10-J11</f>
        <v>-3.57</v>
      </c>
      <c r="D17" s="22" t="n">
        <f aca="false">N10-N11</f>
        <v>-7</v>
      </c>
      <c r="E17" s="13" t="str">
        <f aca="false">IF(B17&gt;=-2,"ไม่ถอยหลัง","ถอยหลัง")</f>
        <v>ไม่ถอยหลัง</v>
      </c>
    </row>
    <row r="19" customFormat="false" ht="15" hidden="false" customHeight="false" outlineLevel="0" collapsed="false">
      <c r="A19" s="9" t="s">
        <v>65</v>
      </c>
    </row>
    <row r="20" customFormat="false" ht="15" hidden="false" customHeight="false" outlineLevel="0" collapsed="false">
      <c r="A20" s="13" t="s">
        <v>66</v>
      </c>
    </row>
    <row r="21" customFormat="false" ht="15" hidden="false" customHeight="false" outlineLevel="0" collapsed="false">
      <c r="A21" s="13" t="s">
        <v>67</v>
      </c>
    </row>
    <row r="22" customFormat="false" ht="15" hidden="false" customHeight="false" outlineLevel="0" collapsed="false">
      <c r="A22" s="13" t="s">
        <v>68</v>
      </c>
    </row>
    <row r="23" customFormat="false" ht="15" hidden="false" customHeight="false" outlineLevel="0" collapsed="false">
      <c r="A23" s="13" t="s">
        <v>69</v>
      </c>
    </row>
    <row r="24" customFormat="false" ht="15" hidden="false" customHeight="false" outlineLevel="0" collapsed="false">
      <c r="A24" s="13" t="s">
        <v>70</v>
      </c>
    </row>
    <row r="25" customFormat="false" ht="15" hidden="false" customHeight="false" outlineLevel="0" collapsed="false">
      <c r="A25" s="1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9" min="8" style="0" width="18"/>
  </cols>
  <sheetData>
    <row r="1" customFormat="false" ht="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A3" s="11" t="s">
        <v>74</v>
      </c>
    </row>
    <row r="5" customFormat="false" ht="45" hidden="false" customHeight="true" outlineLevel="0" collapsed="false">
      <c r="A5" s="3" t="s">
        <v>75</v>
      </c>
      <c r="B5" s="3" t="s">
        <v>76</v>
      </c>
      <c r="C5" s="3" t="s">
        <v>77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3</v>
      </c>
    </row>
    <row r="6" customFormat="false" ht="15" hidden="false" customHeight="false" outlineLevel="0" collapsed="false">
      <c r="A6" s="13" t="s">
        <v>83</v>
      </c>
      <c r="B6" s="13" t="s">
        <v>84</v>
      </c>
      <c r="C6" s="16" t="n">
        <v>19</v>
      </c>
      <c r="D6" s="16" t="n">
        <v>235</v>
      </c>
      <c r="E6" s="16" t="n">
        <v>20</v>
      </c>
      <c r="F6" s="16" t="n">
        <v>19.5</v>
      </c>
      <c r="G6" s="13"/>
      <c r="H6" s="23" t="s">
        <v>85</v>
      </c>
      <c r="I6" s="13" t="s">
        <v>86</v>
      </c>
    </row>
    <row r="7" customFormat="false" ht="15" hidden="false" customHeight="false" outlineLevel="0" collapsed="false">
      <c r="A7" s="13" t="s">
        <v>87</v>
      </c>
      <c r="B7" s="13" t="s">
        <v>88</v>
      </c>
      <c r="C7" s="16" t="n">
        <v>20</v>
      </c>
      <c r="D7" s="16" t="n">
        <v>317</v>
      </c>
      <c r="E7" s="16" t="n">
        <v>31</v>
      </c>
      <c r="F7" s="16" t="n">
        <v>26.4</v>
      </c>
      <c r="G7" s="16" t="n">
        <v>44.8</v>
      </c>
      <c r="H7" s="23" t="s">
        <v>85</v>
      </c>
      <c r="I7" s="13" t="s">
        <v>86</v>
      </c>
    </row>
    <row r="8" customFormat="false" ht="15" hidden="false" customHeight="false" outlineLevel="0" collapsed="false">
      <c r="A8" s="13" t="s">
        <v>89</v>
      </c>
      <c r="B8" s="13" t="s">
        <v>90</v>
      </c>
      <c r="C8" s="16" t="n">
        <v>20</v>
      </c>
      <c r="D8" s="16" t="n">
        <v>317</v>
      </c>
      <c r="E8" s="16" t="n">
        <v>31</v>
      </c>
      <c r="F8" s="16" t="n">
        <v>27.4</v>
      </c>
      <c r="G8" s="13"/>
      <c r="H8" s="23" t="s">
        <v>85</v>
      </c>
      <c r="I8" s="13" t="s">
        <v>86</v>
      </c>
    </row>
    <row r="9" customFormat="false" ht="15" hidden="false" customHeight="false" outlineLevel="0" collapsed="false">
      <c r="A9" s="13" t="s">
        <v>91</v>
      </c>
      <c r="B9" s="13" t="s">
        <v>92</v>
      </c>
      <c r="C9" s="16" t="n">
        <v>20</v>
      </c>
      <c r="D9" s="16" t="n">
        <v>317</v>
      </c>
      <c r="E9" s="16" t="n">
        <v>31</v>
      </c>
      <c r="F9" s="16" t="n">
        <v>28.7</v>
      </c>
      <c r="G9" s="16" t="n">
        <v>46.6</v>
      </c>
      <c r="H9" s="23" t="s">
        <v>85</v>
      </c>
      <c r="I9" s="13" t="s">
        <v>86</v>
      </c>
    </row>
    <row r="11" customFormat="false" ht="15" hidden="false" customHeight="false" outlineLevel="0" collapsed="false">
      <c r="A11" s="9" t="s">
        <v>93</v>
      </c>
      <c r="C11" s="20" t="n">
        <f aca="false">C9-C6</f>
        <v>1</v>
      </c>
      <c r="D11" s="20" t="n">
        <f aca="false">D9-D6</f>
        <v>82</v>
      </c>
      <c r="E11" s="20" t="n">
        <f aca="false">E9-E6</f>
        <v>11</v>
      </c>
      <c r="F11" s="20" t="n">
        <f aca="false">F9-F6</f>
        <v>9.2</v>
      </c>
    </row>
    <row r="13" customFormat="false" ht="15" hidden="false" customHeight="false" outlineLevel="0" collapsed="false">
      <c r="A13" s="9" t="s">
        <v>94</v>
      </c>
    </row>
    <row r="14" customFormat="false" ht="45" hidden="false" customHeight="true" outlineLevel="0" collapsed="false">
      <c r="A14" s="3" t="s">
        <v>95</v>
      </c>
      <c r="B14" s="3" t="s">
        <v>96</v>
      </c>
      <c r="C14" s="3" t="s">
        <v>97</v>
      </c>
      <c r="D14" s="3" t="s">
        <v>64</v>
      </c>
    </row>
    <row r="15" customFormat="false" ht="15" hidden="false" customHeight="false" outlineLevel="0" collapsed="false">
      <c r="A15" s="13" t="s">
        <v>98</v>
      </c>
      <c r="B15" s="16" t="n">
        <v>1</v>
      </c>
      <c r="C15" s="16" t="n">
        <v>1</v>
      </c>
      <c r="D15" s="13" t="str">
        <f aca="false">IF(B15=C15,"ผ่าน","ตรวจต่อ")</f>
        <v>ผ่าน</v>
      </c>
    </row>
    <row r="16" customFormat="false" ht="15" hidden="false" customHeight="false" outlineLevel="0" collapsed="false">
      <c r="A16" s="13" t="s">
        <v>99</v>
      </c>
      <c r="B16" s="16" t="n">
        <v>0</v>
      </c>
      <c r="C16" s="16" t="n">
        <v>0</v>
      </c>
      <c r="D16" s="13" t="str">
        <f aca="false">IF(B16=C16,"ผ่าน","ตรวจต่อ")</f>
        <v>ผ่าน</v>
      </c>
    </row>
    <row r="17" customFormat="false" ht="15" hidden="false" customHeight="false" outlineLevel="0" collapsed="false">
      <c r="A17" s="13" t="s">
        <v>100</v>
      </c>
      <c r="B17" s="16" t="n">
        <v>0</v>
      </c>
      <c r="C17" s="16" t="n">
        <v>0</v>
      </c>
      <c r="D17" s="13" t="str">
        <f aca="false">IF(B17=C17,"ผ่าน","ตรวจต่อ")</f>
        <v>ผ่าน</v>
      </c>
    </row>
    <row r="18" customFormat="false" ht="15" hidden="false" customHeight="false" outlineLevel="0" collapsed="false">
      <c r="A18" s="13" t="s">
        <v>101</v>
      </c>
      <c r="B18" s="16" t="n">
        <v>1</v>
      </c>
      <c r="C18" s="16" t="n">
        <v>1</v>
      </c>
      <c r="D18" s="13" t="str">
        <f aca="false">IF(B18=C18,"ผ่าน","ตรวจต่อ")</f>
        <v>ผ่าน</v>
      </c>
    </row>
    <row r="19" customFormat="false" ht="15" hidden="false" customHeight="false" outlineLevel="0" collapsed="false">
      <c r="A19" s="13" t="s">
        <v>102</v>
      </c>
      <c r="B19" s="16" t="n">
        <v>1</v>
      </c>
      <c r="C19" s="16" t="n">
        <v>1</v>
      </c>
      <c r="D19" s="13" t="str">
        <f aca="false">IF(B19=C19,"ผ่าน","ตรวจต่อ")</f>
        <v>ผ่าน</v>
      </c>
    </row>
    <row r="20" customFormat="false" ht="15" hidden="false" customHeight="false" outlineLevel="0" collapsed="false">
      <c r="A20" s="13" t="s">
        <v>103</v>
      </c>
      <c r="B20" s="13" t="s">
        <v>104</v>
      </c>
      <c r="C20" s="13" t="s">
        <v>104</v>
      </c>
      <c r="D20" s="13" t="str">
        <f aca="false">IF(B20=C20,"ผ่าน","ตรวจต่อ")</f>
        <v>ผ่าน</v>
      </c>
    </row>
    <row r="21" customFormat="false" ht="15" hidden="false" customHeight="false" outlineLevel="0" collapsed="false">
      <c r="A21" s="13" t="s">
        <v>105</v>
      </c>
      <c r="B21" s="16" t="n">
        <v>0</v>
      </c>
      <c r="C21" s="16" t="n">
        <v>0</v>
      </c>
      <c r="D21" s="13" t="str">
        <f aca="false">IF(B21=C21,"ผ่าน","ตรวจต่อ")</f>
        <v>ผ่าน</v>
      </c>
    </row>
    <row r="22" customFormat="false" ht="15" hidden="false" customHeight="false" outlineLevel="0" collapsed="false">
      <c r="A22" s="13" t="s">
        <v>106</v>
      </c>
      <c r="B22" s="16" t="n">
        <v>0</v>
      </c>
      <c r="C22" s="16" t="n">
        <v>0</v>
      </c>
      <c r="D22" s="13" t="str">
        <f aca="false">IF(B22=C22,"ผ่าน","ตรวจต่อ")</f>
        <v>ผ่าน</v>
      </c>
    </row>
    <row r="25" customFormat="false" ht="15" hidden="false" customHeight="false" outlineLevel="0" collapsed="false">
      <c r="A25" s="9" t="s">
        <v>107</v>
      </c>
    </row>
    <row r="26" customFormat="false" ht="15" hidden="false" customHeight="false" outlineLevel="0" collapsed="false">
      <c r="A26" s="13" t="s">
        <v>108</v>
      </c>
    </row>
    <row r="27" customFormat="false" ht="15" hidden="false" customHeight="false" outlineLevel="0" collapsed="false">
      <c r="A27" s="1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9" min="6" style="0" width="8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0" min="20" style="0" width="18"/>
    <col collapsed="false" customWidth="true" hidden="false" outlineLevel="0" max="21" min="21" style="0" width="11"/>
  </cols>
  <sheetData>
    <row r="1" customFormat="false" ht="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11" t="s">
        <v>111</v>
      </c>
    </row>
    <row r="3" customFormat="false" ht="15" hidden="false" customHeight="false" outlineLevel="0" collapsed="false">
      <c r="A3" s="9" t="s">
        <v>37</v>
      </c>
      <c r="B3" s="24" t="n">
        <f aca="false">Performance!B3</f>
        <v>45</v>
      </c>
    </row>
    <row r="5" customFormat="false" ht="45" hidden="false" customHeight="true" outlineLevel="0" collapsed="false">
      <c r="A5" s="3" t="s">
        <v>112</v>
      </c>
      <c r="B5" s="3" t="s">
        <v>113</v>
      </c>
      <c r="C5" s="3" t="s">
        <v>40</v>
      </c>
      <c r="D5" s="3" t="s">
        <v>42</v>
      </c>
      <c r="E5" s="3" t="s">
        <v>114</v>
      </c>
      <c r="F5" s="3" t="s">
        <v>115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49</v>
      </c>
      <c r="L5" s="3" t="s">
        <v>77</v>
      </c>
      <c r="M5" s="3" t="s">
        <v>78</v>
      </c>
      <c r="N5" s="3" t="s">
        <v>79</v>
      </c>
      <c r="O5" s="3" t="s">
        <v>80</v>
      </c>
      <c r="P5" s="3" t="s">
        <v>81</v>
      </c>
      <c r="Q5" s="3" t="s">
        <v>116</v>
      </c>
      <c r="R5" s="3" t="s">
        <v>117</v>
      </c>
      <c r="S5" s="3" t="s">
        <v>118</v>
      </c>
      <c r="T5" s="3" t="s">
        <v>119</v>
      </c>
      <c r="U5" s="3" t="s">
        <v>54</v>
      </c>
    </row>
    <row r="6" customFormat="false" ht="15" hidden="false" customHeight="false" outlineLevel="0" collapsed="false">
      <c r="A6" s="13" t="s">
        <v>83</v>
      </c>
      <c r="B6" s="13" t="s">
        <v>120</v>
      </c>
      <c r="C6" s="13"/>
      <c r="D6" s="13"/>
      <c r="E6" s="13"/>
      <c r="F6" s="13"/>
      <c r="G6" s="13"/>
      <c r="H6" s="13"/>
      <c r="I6" s="13"/>
      <c r="J6" s="13"/>
      <c r="K6" s="13"/>
      <c r="L6" s="16" t="n">
        <v>12</v>
      </c>
      <c r="M6" s="16" t="n">
        <v>207</v>
      </c>
      <c r="N6" s="16" t="n">
        <v>20</v>
      </c>
      <c r="O6" s="16" t="n">
        <v>41.5</v>
      </c>
      <c r="P6" s="16" t="n">
        <v>54.6</v>
      </c>
      <c r="Q6" s="16" t="n">
        <v>0</v>
      </c>
    </row>
    <row r="7" customFormat="false" ht="26.85" hidden="false" customHeight="false" outlineLevel="0" collapsed="false">
      <c r="A7" s="25" t="n">
        <v>1</v>
      </c>
      <c r="B7" s="6" t="s">
        <v>121</v>
      </c>
      <c r="C7" s="16" t="n">
        <v>52.7</v>
      </c>
      <c r="D7" s="16" t="n">
        <v>52.7</v>
      </c>
      <c r="E7" s="16" t="n">
        <v>16.7</v>
      </c>
      <c r="F7" s="16" t="n">
        <v>33.4</v>
      </c>
      <c r="G7" s="16" t="n">
        <v>3</v>
      </c>
      <c r="H7" s="16" t="n">
        <v>1</v>
      </c>
      <c r="I7" s="16" t="n">
        <v>2</v>
      </c>
      <c r="J7" s="16" t="n">
        <v>8.5</v>
      </c>
      <c r="K7" s="16" t="n">
        <v>10.7</v>
      </c>
      <c r="L7" s="16" t="n">
        <v>41</v>
      </c>
      <c r="M7" s="16" t="n">
        <v>243</v>
      </c>
      <c r="N7" s="16" t="n">
        <v>25</v>
      </c>
      <c r="O7" s="16" t="n">
        <v>55.9</v>
      </c>
      <c r="P7" s="16" t="n">
        <v>68.8</v>
      </c>
      <c r="Q7" s="16" t="n">
        <v>0</v>
      </c>
      <c r="R7" s="16" t="n">
        <v>60</v>
      </c>
      <c r="S7" s="16" t="n">
        <v>60</v>
      </c>
      <c r="T7" s="13" t="str">
        <f aca="false">IF(AND(R7&gt;=58,S7&gt;=58),"ใช้ได้","ไม่ใช้ (เสียโฟกัส/ถูกบัง)")</f>
        <v>ใช้ได้</v>
      </c>
      <c r="U7" s="13" t="str">
        <f aca="false">IF(T7&lt;&gt;"ใช้ได้","—",IF(C7&gt;=$B$3,"ถึงเป้า","ต่ำกว่าเป้า"))</f>
        <v>ถึงเป้า</v>
      </c>
    </row>
    <row r="8" customFormat="false" ht="26.85" hidden="false" customHeight="false" outlineLevel="0" collapsed="false">
      <c r="A8" s="25" t="n">
        <v>2</v>
      </c>
      <c r="B8" s="6" t="s">
        <v>122</v>
      </c>
      <c r="C8" s="16" t="n">
        <v>51.9</v>
      </c>
      <c r="D8" s="16" t="n">
        <v>36.9</v>
      </c>
      <c r="E8" s="16" t="n">
        <v>16.7</v>
      </c>
      <c r="F8" s="16" t="n">
        <v>33.2</v>
      </c>
      <c r="G8" s="16" t="n">
        <v>14</v>
      </c>
      <c r="H8" s="16" t="n">
        <v>5</v>
      </c>
      <c r="I8" s="16" t="n">
        <v>9</v>
      </c>
      <c r="J8" s="16" t="n">
        <v>10.02</v>
      </c>
      <c r="K8" s="16" t="n">
        <v>8</v>
      </c>
      <c r="L8" s="16" t="n">
        <v>12</v>
      </c>
      <c r="M8" s="16" t="n">
        <v>319</v>
      </c>
      <c r="N8" s="16" t="n">
        <v>32</v>
      </c>
      <c r="O8" s="16" t="n">
        <v>26.9</v>
      </c>
      <c r="P8" s="16" t="n">
        <v>29.5</v>
      </c>
      <c r="Q8" s="16" t="n">
        <v>0</v>
      </c>
      <c r="R8" s="16" t="n">
        <v>60</v>
      </c>
      <c r="S8" s="16" t="n">
        <v>60</v>
      </c>
      <c r="T8" s="13" t="str">
        <f aca="false">IF(AND(R8&gt;=58,S8&gt;=58),"ใช้ได้","ไม่ใช้ (เสียโฟกัส/ถูกบัง)")</f>
        <v>ใช้ได้</v>
      </c>
      <c r="U8" s="13" t="str">
        <f aca="false">IF(T8&lt;&gt;"ใช้ได้","—",IF(C8&gt;=$B$3,"ถึงเป้า","ต่ำกว่าเป้า"))</f>
        <v>ถึงเป้า</v>
      </c>
    </row>
    <row r="9" customFormat="false" ht="26.85" hidden="false" customHeight="false" outlineLevel="0" collapsed="false">
      <c r="A9" s="25" t="n">
        <v>3</v>
      </c>
      <c r="B9" s="6" t="s">
        <v>121</v>
      </c>
      <c r="C9" s="16" t="n">
        <v>53.5</v>
      </c>
      <c r="D9" s="16" t="n">
        <v>53.4</v>
      </c>
      <c r="E9" s="16" t="n">
        <v>16.7</v>
      </c>
      <c r="F9" s="16" t="n">
        <v>33.3</v>
      </c>
      <c r="G9" s="16" t="n">
        <v>5</v>
      </c>
      <c r="H9" s="16" t="n">
        <v>1</v>
      </c>
      <c r="I9" s="16" t="n">
        <v>3</v>
      </c>
      <c r="J9" s="16" t="n">
        <v>9.59</v>
      </c>
      <c r="K9" s="16" t="n">
        <v>10.5</v>
      </c>
      <c r="L9" s="16" t="n">
        <v>42</v>
      </c>
      <c r="M9" s="16" t="n">
        <v>323</v>
      </c>
      <c r="N9" s="16" t="n">
        <v>35</v>
      </c>
      <c r="O9" s="16" t="n">
        <v>33</v>
      </c>
      <c r="P9" s="16" t="n">
        <v>42.4</v>
      </c>
      <c r="Q9" s="16" t="n">
        <v>0</v>
      </c>
      <c r="R9" s="16" t="n">
        <v>60</v>
      </c>
      <c r="S9" s="16" t="n">
        <v>60</v>
      </c>
      <c r="T9" s="13" t="str">
        <f aca="false">IF(AND(R9&gt;=58,S9&gt;=58),"ใช้ได้","ไม่ใช้ (เสียโฟกัส/ถูกบัง)")</f>
        <v>ใช้ได้</v>
      </c>
      <c r="U9" s="13" t="str">
        <f aca="false">IF(T9&lt;&gt;"ใช้ได้","—",IF(C9&gt;=$B$3,"ถึงเป้า","ต่ำกว่าเป้า"))</f>
        <v>ถึงเป้า</v>
      </c>
    </row>
    <row r="10" customFormat="false" ht="26.85" hidden="false" customHeight="false" outlineLevel="0" collapsed="false">
      <c r="A10" s="25" t="n">
        <v>4</v>
      </c>
      <c r="B10" s="6" t="s">
        <v>122</v>
      </c>
      <c r="C10" s="16" t="n">
        <v>55.8</v>
      </c>
      <c r="D10" s="16" t="n">
        <v>40.7</v>
      </c>
      <c r="E10" s="16" t="n">
        <v>16.6</v>
      </c>
      <c r="F10" s="16" t="n">
        <v>33.1</v>
      </c>
      <c r="G10" s="16" t="n">
        <v>5</v>
      </c>
      <c r="H10" s="16" t="n">
        <v>1</v>
      </c>
      <c r="I10" s="16" t="n">
        <v>4</v>
      </c>
      <c r="J10" s="16" t="n">
        <v>10.03</v>
      </c>
      <c r="K10" s="16" t="n">
        <v>8.1</v>
      </c>
      <c r="L10" s="16" t="n">
        <v>12</v>
      </c>
      <c r="M10" s="16" t="n">
        <v>321</v>
      </c>
      <c r="N10" s="16" t="n">
        <v>33</v>
      </c>
      <c r="O10" s="16" t="n">
        <v>31.8</v>
      </c>
      <c r="P10" s="16" t="n">
        <v>47.6</v>
      </c>
      <c r="Q10" s="16" t="n">
        <v>0</v>
      </c>
      <c r="R10" s="16" t="n">
        <v>60</v>
      </c>
      <c r="S10" s="16" t="n">
        <v>60</v>
      </c>
      <c r="T10" s="13" t="str">
        <f aca="false">IF(AND(R10&gt;=58,S10&gt;=58),"ใช้ได้","ไม่ใช้ (เสียโฟกัส/ถูกบัง)")</f>
        <v>ใช้ได้</v>
      </c>
      <c r="U10" s="13" t="str">
        <f aca="false">IF(T10&lt;&gt;"ใช้ได้","—",IF(C10&gt;=$B$3,"ถึงเป้า","ต่ำกว่าเป้า"))</f>
        <v>ถึงเป้า</v>
      </c>
    </row>
    <row r="11" customFormat="false" ht="26.85" hidden="false" customHeight="false" outlineLevel="0" collapsed="false">
      <c r="A11" s="25" t="n">
        <v>5</v>
      </c>
      <c r="B11" s="6" t="s">
        <v>121</v>
      </c>
      <c r="C11" s="16" t="n">
        <v>54.6</v>
      </c>
      <c r="D11" s="16" t="n">
        <v>54.6</v>
      </c>
      <c r="E11" s="16" t="n">
        <v>16.7</v>
      </c>
      <c r="F11" s="16" t="n">
        <v>33.2</v>
      </c>
      <c r="G11" s="16" t="n">
        <v>5</v>
      </c>
      <c r="H11" s="16" t="n">
        <v>1</v>
      </c>
      <c r="I11" s="16" t="n">
        <v>2</v>
      </c>
      <c r="J11" s="16" t="n">
        <v>9.58</v>
      </c>
      <c r="K11" s="16" t="n">
        <v>10.2</v>
      </c>
      <c r="L11" s="16" t="n">
        <v>42</v>
      </c>
      <c r="M11" s="16" t="n">
        <v>325</v>
      </c>
      <c r="N11" s="16" t="n">
        <v>36</v>
      </c>
      <c r="O11" s="16" t="n">
        <v>29.9</v>
      </c>
      <c r="P11" s="16" t="n">
        <v>40</v>
      </c>
      <c r="Q11" s="16" t="n">
        <v>0</v>
      </c>
      <c r="R11" s="16" t="n">
        <v>60</v>
      </c>
      <c r="S11" s="16" t="n">
        <v>60</v>
      </c>
      <c r="T11" s="13" t="str">
        <f aca="false">IF(AND(R11&gt;=58,S11&gt;=58),"ใช้ได้","ไม่ใช้ (เสียโฟกัส/ถูกบัง)")</f>
        <v>ใช้ได้</v>
      </c>
      <c r="U11" s="13" t="str">
        <f aca="false">IF(T11&lt;&gt;"ใช้ได้","—",IF(C11&gt;=$B$3,"ถึงเป้า","ต่ำกว่าเป้า"))</f>
        <v>ถึงเป้า</v>
      </c>
    </row>
    <row r="12" customFormat="false" ht="26.85" hidden="false" customHeight="false" outlineLevel="0" collapsed="false">
      <c r="A12" s="25" t="n">
        <v>6</v>
      </c>
      <c r="B12" s="6" t="s">
        <v>122</v>
      </c>
      <c r="C12" s="16" t="n">
        <v>56.9</v>
      </c>
      <c r="D12" s="16" t="n">
        <v>41.8</v>
      </c>
      <c r="E12" s="16" t="n">
        <v>16.6</v>
      </c>
      <c r="F12" s="16" t="n">
        <v>32.4</v>
      </c>
      <c r="G12" s="16" t="n">
        <v>1</v>
      </c>
      <c r="H12" s="16" t="n">
        <v>0</v>
      </c>
      <c r="I12" s="16" t="n">
        <v>0</v>
      </c>
      <c r="J12" s="16" t="n">
        <v>9.95</v>
      </c>
      <c r="K12" s="16" t="n">
        <v>6.5</v>
      </c>
      <c r="L12" s="16" t="n">
        <v>12</v>
      </c>
      <c r="M12" s="16" t="n">
        <v>321</v>
      </c>
      <c r="N12" s="16" t="n">
        <v>33</v>
      </c>
      <c r="O12" s="16" t="n">
        <v>25.4</v>
      </c>
      <c r="P12" s="16" t="n">
        <v>29.7</v>
      </c>
      <c r="Q12" s="16" t="n">
        <v>0</v>
      </c>
      <c r="R12" s="16" t="n">
        <v>60</v>
      </c>
      <c r="S12" s="16" t="n">
        <v>60</v>
      </c>
      <c r="T12" s="13" t="str">
        <f aca="false">IF(AND(R12&gt;=58,S12&gt;=58),"ใช้ได้","ไม่ใช้ (เสียโฟกัส/ถูกบัง)")</f>
        <v>ใช้ได้</v>
      </c>
      <c r="U12" s="13" t="str">
        <f aca="false">IF(T12&lt;&gt;"ใช้ได้","—",IF(C12&gt;=$B$3,"ถึงเป้า","ต่ำกว่าเป้า"))</f>
        <v>ถึงเป้า</v>
      </c>
    </row>
    <row r="13" customFormat="false" ht="26.85" hidden="false" customHeight="false" outlineLevel="0" collapsed="false">
      <c r="A13" s="25" t="n">
        <v>7</v>
      </c>
      <c r="B13" s="6" t="s">
        <v>121</v>
      </c>
      <c r="C13" s="16" t="n">
        <v>55.2</v>
      </c>
      <c r="D13" s="16" t="n">
        <v>55.1</v>
      </c>
      <c r="E13" s="16" t="n">
        <v>16.7</v>
      </c>
      <c r="F13" s="16" t="n">
        <v>33.1</v>
      </c>
      <c r="G13" s="16" t="n">
        <v>7</v>
      </c>
      <c r="H13" s="16" t="n">
        <v>1</v>
      </c>
      <c r="I13" s="16" t="n">
        <v>5</v>
      </c>
      <c r="J13" s="16" t="n">
        <v>9.99</v>
      </c>
      <c r="K13" s="16" t="n">
        <v>10.2</v>
      </c>
      <c r="L13" s="16" t="n">
        <v>42</v>
      </c>
      <c r="M13" s="16" t="n">
        <v>325</v>
      </c>
      <c r="N13" s="16" t="n">
        <v>36</v>
      </c>
      <c r="O13" s="16" t="n">
        <v>36.7</v>
      </c>
      <c r="P13" s="16" t="n">
        <v>42.9</v>
      </c>
      <c r="Q13" s="16" t="n">
        <v>0</v>
      </c>
      <c r="R13" s="16" t="n">
        <v>60</v>
      </c>
      <c r="S13" s="16" t="n">
        <v>60</v>
      </c>
      <c r="T13" s="13" t="str">
        <f aca="false">IF(AND(R13&gt;=58,S13&gt;=58),"ใช้ได้","ไม่ใช้ (เสียโฟกัส/ถูกบัง)")</f>
        <v>ใช้ได้</v>
      </c>
      <c r="U13" s="13" t="str">
        <f aca="false">IF(T13&lt;&gt;"ใช้ได้","—",IF(C13&gt;=$B$3,"ถึงเป้า","ต่ำกว่าเป้า"))</f>
        <v>ถึงเป้า</v>
      </c>
    </row>
    <row r="14" customFormat="false" ht="26.85" hidden="false" customHeight="false" outlineLevel="0" collapsed="false">
      <c r="A14" s="26" t="n">
        <v>8</v>
      </c>
      <c r="B14" s="27" t="s">
        <v>122</v>
      </c>
      <c r="C14" s="28" t="n">
        <v>32.7</v>
      </c>
      <c r="D14" s="28" t="n">
        <v>18.6</v>
      </c>
      <c r="E14" s="28" t="n">
        <v>16.7</v>
      </c>
      <c r="F14" s="28" t="n">
        <v>33.8</v>
      </c>
      <c r="G14" s="28" t="n">
        <v>29</v>
      </c>
      <c r="H14" s="28" t="n">
        <v>6</v>
      </c>
      <c r="I14" s="28" t="n">
        <v>16</v>
      </c>
      <c r="J14" s="28" t="n">
        <v>10.38</v>
      </c>
      <c r="K14" s="28" t="n">
        <v>11.2</v>
      </c>
      <c r="L14" s="28" t="n">
        <v>12</v>
      </c>
      <c r="M14" s="28" t="n">
        <v>321</v>
      </c>
      <c r="N14" s="28" t="n">
        <v>33</v>
      </c>
      <c r="O14" s="28" t="n">
        <v>27.2</v>
      </c>
      <c r="P14" s="28" t="n">
        <v>31.6</v>
      </c>
      <c r="Q14" s="28" t="n">
        <v>0</v>
      </c>
      <c r="R14" s="28" t="n">
        <v>59</v>
      </c>
      <c r="S14" s="28" t="n">
        <v>38</v>
      </c>
      <c r="T14" s="29" t="str">
        <f aca="false">IF(AND(R14&gt;=58,S14&gt;=58),"ใช้ได้","ไม่ใช้ (เสียโฟกัส/ถูกบัง)")</f>
        <v>ไม่ใช้ (เสียโฟกัส/ถูกบัง)</v>
      </c>
      <c r="U14" s="29" t="str">
        <f aca="false">IF(T14&lt;&gt;"ใช้ได้","—",IF(C14&gt;=$B$3,"ถึงเป้า","ต่ำกว่าเป้า"))</f>
        <v>—</v>
      </c>
    </row>
    <row r="15" customFormat="false" ht="26.85" hidden="false" customHeight="false" outlineLevel="0" collapsed="false">
      <c r="A15" s="26" t="n">
        <v>9</v>
      </c>
      <c r="B15" s="27" t="s">
        <v>121</v>
      </c>
      <c r="C15" s="28" t="n">
        <v>49.2</v>
      </c>
      <c r="D15" s="28" t="n">
        <v>49.2</v>
      </c>
      <c r="E15" s="28" t="n">
        <v>16.7</v>
      </c>
      <c r="F15" s="28" t="n">
        <v>33.4</v>
      </c>
      <c r="G15" s="28" t="n">
        <v>9</v>
      </c>
      <c r="H15" s="28" t="n">
        <v>2</v>
      </c>
      <c r="I15" s="28" t="n">
        <v>3</v>
      </c>
      <c r="J15" s="28" t="n">
        <v>9.63</v>
      </c>
      <c r="K15" s="28" t="n">
        <v>11.4</v>
      </c>
      <c r="L15" s="28" t="n">
        <v>42</v>
      </c>
      <c r="M15" s="28" t="n">
        <v>325</v>
      </c>
      <c r="N15" s="28" t="n">
        <v>36</v>
      </c>
      <c r="O15" s="28" t="n">
        <v>30.3</v>
      </c>
      <c r="P15" s="28" t="n">
        <v>39</v>
      </c>
      <c r="Q15" s="28" t="n">
        <v>0</v>
      </c>
      <c r="R15" s="28" t="n">
        <v>60</v>
      </c>
      <c r="S15" s="28" t="n">
        <v>57</v>
      </c>
      <c r="T15" s="29" t="str">
        <f aca="false">IF(AND(R15&gt;=58,S15&gt;=58),"ใช้ได้","ไม่ใช้ (เสียโฟกัส/ถูกบัง)")</f>
        <v>ไม่ใช้ (เสียโฟกัส/ถูกบัง)</v>
      </c>
      <c r="U15" s="29" t="str">
        <f aca="false">IF(T15&lt;&gt;"ใช้ได้","—",IF(C15&gt;=$B$3,"ถึงเป้า","ต่ำกว่าเป้า"))</f>
        <v>—</v>
      </c>
    </row>
    <row r="16" customFormat="false" ht="26.85" hidden="false" customHeight="false" outlineLevel="0" collapsed="false">
      <c r="A16" s="25" t="n">
        <v>10</v>
      </c>
      <c r="B16" s="6" t="s">
        <v>122</v>
      </c>
      <c r="C16" s="16" t="n">
        <v>56.3</v>
      </c>
      <c r="D16" s="16" t="n">
        <v>41.2</v>
      </c>
      <c r="E16" s="16" t="n">
        <v>16.6</v>
      </c>
      <c r="F16" s="16" t="n">
        <v>33</v>
      </c>
      <c r="G16" s="16" t="n">
        <v>2</v>
      </c>
      <c r="H16" s="16" t="n">
        <v>0</v>
      </c>
      <c r="I16" s="16" t="n">
        <v>2</v>
      </c>
      <c r="J16" s="16" t="n">
        <v>9.83</v>
      </c>
      <c r="K16" s="16" t="n">
        <v>6.3</v>
      </c>
      <c r="L16" s="16" t="n">
        <v>12</v>
      </c>
      <c r="M16" s="16" t="n">
        <v>321</v>
      </c>
      <c r="N16" s="16" t="n">
        <v>33</v>
      </c>
      <c r="O16" s="16" t="n">
        <v>32.3</v>
      </c>
      <c r="P16" s="16" t="n">
        <v>47</v>
      </c>
      <c r="Q16" s="16" t="n">
        <v>0</v>
      </c>
      <c r="R16" s="16" t="n">
        <v>60</v>
      </c>
      <c r="S16" s="16" t="n">
        <v>60</v>
      </c>
      <c r="T16" s="13" t="str">
        <f aca="false">IF(AND(R16&gt;=58,S16&gt;=58),"ใช้ได้","ไม่ใช้ (เสียโฟกัส/ถูกบัง)")</f>
        <v>ใช้ได้</v>
      </c>
      <c r="U16" s="13" t="str">
        <f aca="false">IF(T16&lt;&gt;"ใช้ได้","—",IF(C16&gt;=$B$3,"ถึงเป้า","ต่ำกว่าเป้า"))</f>
        <v>ถึงเป้า</v>
      </c>
    </row>
    <row r="17" customFormat="false" ht="15" hidden="false" customHeight="false" outlineLevel="0" collapsed="false">
      <c r="A17" s="13" t="s">
        <v>123</v>
      </c>
      <c r="B17" s="13" t="s">
        <v>124</v>
      </c>
      <c r="C17" s="13"/>
      <c r="D17" s="13"/>
      <c r="E17" s="13"/>
      <c r="F17" s="13"/>
      <c r="G17" s="13"/>
      <c r="H17" s="13"/>
      <c r="I17" s="13"/>
      <c r="J17" s="13"/>
      <c r="K17" s="13"/>
      <c r="L17" s="16" t="n">
        <v>13</v>
      </c>
      <c r="M17" s="16" t="n">
        <v>317</v>
      </c>
      <c r="N17" s="16" t="n">
        <v>31</v>
      </c>
      <c r="O17" s="16" t="n">
        <v>30.6</v>
      </c>
      <c r="P17" s="16" t="n">
        <v>37.6</v>
      </c>
      <c r="Q17" s="16" t="n">
        <v>0</v>
      </c>
    </row>
    <row r="18" customFormat="false" ht="15" hidden="false" customHeight="false" outlineLevel="0" collapsed="false">
      <c r="A18" s="13" t="s">
        <v>125</v>
      </c>
      <c r="B18" s="13" t="s">
        <v>124</v>
      </c>
      <c r="C18" s="13"/>
      <c r="D18" s="13"/>
      <c r="E18" s="13"/>
      <c r="F18" s="13"/>
      <c r="G18" s="13"/>
      <c r="H18" s="13"/>
      <c r="I18" s="13"/>
      <c r="J18" s="13"/>
      <c r="K18" s="13"/>
      <c r="L18" s="16" t="n">
        <v>13</v>
      </c>
      <c r="M18" s="16" t="n">
        <v>317</v>
      </c>
      <c r="N18" s="16" t="n">
        <v>31</v>
      </c>
      <c r="O18" s="16" t="n">
        <v>27.4</v>
      </c>
      <c r="P18" s="16" t="n">
        <v>38.9</v>
      </c>
      <c r="Q18" s="16" t="n">
        <v>0</v>
      </c>
    </row>
    <row r="19" customFormat="false" ht="15" hidden="false" customHeight="false" outlineLevel="0" collapsed="false">
      <c r="A19" s="13" t="s">
        <v>126</v>
      </c>
      <c r="B19" s="13" t="s">
        <v>124</v>
      </c>
      <c r="C19" s="13"/>
      <c r="D19" s="13"/>
      <c r="E19" s="13"/>
      <c r="F19" s="13"/>
      <c r="G19" s="13"/>
      <c r="H19" s="13"/>
      <c r="I19" s="13"/>
      <c r="J19" s="13"/>
      <c r="K19" s="13"/>
      <c r="L19" s="16" t="n">
        <v>13</v>
      </c>
      <c r="M19" s="16" t="n">
        <v>317</v>
      </c>
      <c r="N19" s="16" t="n">
        <v>31</v>
      </c>
      <c r="O19" s="16" t="n">
        <v>29.4</v>
      </c>
      <c r="P19" s="16" t="n">
        <v>39.2</v>
      </c>
      <c r="Q19" s="16" t="n">
        <v>0</v>
      </c>
    </row>
    <row r="21" customFormat="false" ht="15" hidden="false" customHeight="false" outlineLevel="0" collapsed="false">
      <c r="A21" s="18" t="s">
        <v>127</v>
      </c>
    </row>
    <row r="22" customFormat="false" ht="15" hidden="false" customHeight="false" outlineLevel="0" collapsed="false">
      <c r="A22" s="13" t="s">
        <v>128</v>
      </c>
      <c r="E22" s="30" t="n">
        <f aca="false">AVERAGEIF(T7:T16,"ใช้ได้",C7:C16)</f>
        <v>54.6125</v>
      </c>
    </row>
    <row r="23" customFormat="false" ht="15" hidden="false" customHeight="false" outlineLevel="0" collapsed="false">
      <c r="A23" s="13" t="s">
        <v>129</v>
      </c>
      <c r="E23" s="30" t="n">
        <f aca="false">_xlfn.MINIFS(C7:C16,T7:T16,"ใช้ได้")</f>
        <v>51.9</v>
      </c>
    </row>
    <row r="24" customFormat="false" ht="15" hidden="false" customHeight="false" outlineLevel="0" collapsed="false">
      <c r="A24" s="13" t="s">
        <v>130</v>
      </c>
      <c r="E24" s="31" t="n">
        <f aca="false">COUNTIF(T7:T16,"&lt;&gt;ใช้ได้")</f>
        <v>2</v>
      </c>
    </row>
    <row r="25" customFormat="false" ht="15" hidden="false" customHeight="false" outlineLevel="0" collapsed="false">
      <c r="A25" s="13" t="s">
        <v>131</v>
      </c>
      <c r="E25" s="30" t="n">
        <f aca="false">MAX(O7:O16)</f>
        <v>55.9</v>
      </c>
    </row>
    <row r="26" customFormat="false" ht="15" hidden="false" customHeight="false" outlineLevel="0" collapsed="false">
      <c r="A26" s="13" t="s">
        <v>132</v>
      </c>
      <c r="E26" s="30" t="n">
        <f aca="false">AVERAGE(O17:O19)</f>
        <v>29.1333333333333</v>
      </c>
    </row>
    <row r="27" customFormat="false" ht="15" hidden="false" customHeight="false" outlineLevel="0" collapsed="false">
      <c r="A27" s="13" t="s">
        <v>133</v>
      </c>
      <c r="E27" s="20" t="n">
        <f aca="false">E26-O6</f>
        <v>-12.3666666666667</v>
      </c>
    </row>
    <row r="28" customFormat="false" ht="15" hidden="false" customHeight="false" outlineLevel="0" collapsed="false">
      <c r="A28" s="13" t="s">
        <v>134</v>
      </c>
      <c r="E28" s="22" t="n">
        <f aca="false">L19-L6</f>
        <v>1</v>
      </c>
    </row>
    <row r="29" customFormat="false" ht="15" hidden="false" customHeight="false" outlineLevel="0" collapsed="false">
      <c r="A29" s="13" t="s">
        <v>135</v>
      </c>
      <c r="E29" s="22" t="n">
        <f aca="false">M19-M6</f>
        <v>110</v>
      </c>
    </row>
    <row r="30" customFormat="false" ht="15" hidden="false" customHeight="false" outlineLevel="0" collapsed="false">
      <c r="A30" s="13" t="s">
        <v>136</v>
      </c>
      <c r="E30" s="22" t="n">
        <f aca="false">N19-N6</f>
        <v>11</v>
      </c>
    </row>
    <row r="31" customFormat="false" ht="15" hidden="false" customHeight="false" outlineLevel="0" collapsed="false">
      <c r="A31" s="13" t="s">
        <v>137</v>
      </c>
      <c r="E31" s="31" t="n">
        <f aca="false">Q19</f>
        <v>0</v>
      </c>
    </row>
    <row r="34" customFormat="false" ht="15" hidden="false" customHeight="false" outlineLevel="0" collapsed="false">
      <c r="A34" s="9" t="s">
        <v>138</v>
      </c>
    </row>
    <row r="35" customFormat="false" ht="15" hidden="false" customHeight="false" outlineLevel="0" collapsed="false">
      <c r="A35" s="13" t="s">
        <v>139</v>
      </c>
      <c r="E35" s="32" t="n">
        <v>1</v>
      </c>
    </row>
    <row r="36" customFormat="false" ht="15" hidden="false" customHeight="false" outlineLevel="0" collapsed="false">
      <c r="A36" s="13" t="s">
        <v>99</v>
      </c>
      <c r="E36" s="32" t="n">
        <v>0</v>
      </c>
    </row>
    <row r="37" customFormat="false" ht="15" hidden="false" customHeight="false" outlineLevel="0" collapsed="false">
      <c r="A37" s="13" t="s">
        <v>100</v>
      </c>
      <c r="E37" s="32" t="n">
        <v>0</v>
      </c>
    </row>
    <row r="38" customFormat="false" ht="15" hidden="false" customHeight="false" outlineLevel="0" collapsed="false">
      <c r="A38" s="13" t="s">
        <v>101</v>
      </c>
      <c r="E38" s="32" t="n">
        <v>1</v>
      </c>
    </row>
    <row r="39" customFormat="false" ht="15" hidden="false" customHeight="false" outlineLevel="0" collapsed="false">
      <c r="A39" s="13" t="s">
        <v>102</v>
      </c>
      <c r="E39" s="32" t="n">
        <v>1</v>
      </c>
    </row>
    <row r="40" customFormat="false" ht="15" hidden="false" customHeight="false" outlineLevel="0" collapsed="false">
      <c r="A40" s="13" t="s">
        <v>103</v>
      </c>
      <c r="E40" s="32" t="s">
        <v>104</v>
      </c>
    </row>
    <row r="43" customFormat="false" ht="15" hidden="false" customHeight="false" outlineLevel="0" collapsed="false">
      <c r="A43" s="9" t="s">
        <v>65</v>
      </c>
    </row>
    <row r="44" customFormat="false" ht="15" hidden="false" customHeight="false" outlineLevel="0" collapsed="false">
      <c r="A44" s="13" t="s">
        <v>140</v>
      </c>
    </row>
    <row r="45" customFormat="false" ht="15" hidden="false" customHeight="false" outlineLevel="0" collapsed="false">
      <c r="A45" s="13" t="s">
        <v>141</v>
      </c>
    </row>
    <row r="46" customFormat="false" ht="15" hidden="false" customHeight="false" outlineLevel="0" collapsed="false">
      <c r="A46" s="13" t="s">
        <v>142</v>
      </c>
    </row>
    <row r="47" customFormat="false" ht="15" hidden="false" customHeight="false" outlineLevel="0" collapsed="false">
      <c r="A47" s="13" t="s">
        <v>143</v>
      </c>
    </row>
    <row r="48" customFormat="false" ht="15" hidden="false" customHeight="false" outlineLevel="0" collapsed="false">
      <c r="A48" s="13" t="s">
        <v>144</v>
      </c>
    </row>
    <row r="49" customFormat="false" ht="15" hidden="false" customHeight="false" outlineLevel="0" collapsed="false">
      <c r="A49" s="13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8" min="5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8" min="16" style="0" width="9"/>
    <col collapsed="false" customWidth="true" hidden="false" outlineLevel="0" max="19" min="19" style="0" width="16"/>
  </cols>
  <sheetData>
    <row r="1" customFormat="false" ht="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3" customFormat="false" ht="15" hidden="false" customHeight="false" outlineLevel="0" collapsed="false">
      <c r="A3" s="9" t="s">
        <v>148</v>
      </c>
      <c r="B3" s="12" t="n">
        <v>30</v>
      </c>
    </row>
    <row r="5" customFormat="false" ht="45" hidden="false" customHeight="true" outlineLevel="0" collapsed="false">
      <c r="A5" s="3" t="s">
        <v>38</v>
      </c>
      <c r="B5" s="3" t="s">
        <v>40</v>
      </c>
      <c r="C5" s="3" t="s">
        <v>42</v>
      </c>
      <c r="D5" s="3" t="s">
        <v>114</v>
      </c>
      <c r="E5" s="3" t="s">
        <v>115</v>
      </c>
      <c r="F5" s="3" t="s">
        <v>44</v>
      </c>
      <c r="G5" s="3" t="s">
        <v>45</v>
      </c>
      <c r="H5" s="3" t="s">
        <v>46</v>
      </c>
      <c r="I5" s="3" t="s">
        <v>149</v>
      </c>
      <c r="J5" s="3" t="s">
        <v>47</v>
      </c>
      <c r="K5" s="3" t="s">
        <v>49</v>
      </c>
      <c r="L5" s="3" t="s">
        <v>51</v>
      </c>
      <c r="M5" s="3" t="s">
        <v>52</v>
      </c>
      <c r="N5" s="3" t="s">
        <v>77</v>
      </c>
      <c r="O5" s="3" t="s">
        <v>78</v>
      </c>
      <c r="P5" s="3" t="s">
        <v>79</v>
      </c>
      <c r="Q5" s="3" t="s">
        <v>53</v>
      </c>
      <c r="R5" s="3" t="s">
        <v>150</v>
      </c>
      <c r="S5" s="3" t="s">
        <v>151</v>
      </c>
    </row>
    <row r="6" customFormat="false" ht="15" hidden="false" customHeight="false" outlineLevel="0" collapsed="false">
      <c r="A6" s="13" t="s">
        <v>152</v>
      </c>
      <c r="B6" s="16" t="n">
        <v>59.3</v>
      </c>
      <c r="C6" s="16" t="n">
        <v>41.5</v>
      </c>
      <c r="D6" s="16" t="n">
        <v>16.6</v>
      </c>
      <c r="E6" s="16" t="n">
        <v>17.8</v>
      </c>
      <c r="F6" s="16" t="n">
        <v>1</v>
      </c>
      <c r="G6" s="16" t="n">
        <v>0</v>
      </c>
      <c r="H6" s="16" t="n">
        <v>1</v>
      </c>
      <c r="I6" s="16" t="n">
        <v>59</v>
      </c>
      <c r="J6" s="16" t="n">
        <v>6.53</v>
      </c>
      <c r="K6" s="16" t="n">
        <v>7.3</v>
      </c>
      <c r="L6" s="16" t="n">
        <v>232</v>
      </c>
      <c r="M6" s="17" t="n">
        <v>247699</v>
      </c>
      <c r="N6" s="16" t="n">
        <v>12</v>
      </c>
      <c r="O6" s="16" t="n">
        <v>207</v>
      </c>
      <c r="P6" s="16" t="n">
        <v>20</v>
      </c>
      <c r="Q6" s="16" t="n">
        <v>16.5</v>
      </c>
      <c r="R6" s="16" t="n">
        <v>0</v>
      </c>
      <c r="S6" s="13" t="str">
        <f aca="false">IF(B6&gt;=$B$3,"ถึงเป้า (จำลอง)","ต่ำกว่าเป้า")</f>
        <v>ถึงเป้า (จำลอง)</v>
      </c>
    </row>
    <row r="7" customFormat="false" ht="15" hidden="false" customHeight="false" outlineLevel="0" collapsed="false">
      <c r="A7" s="13" t="s">
        <v>58</v>
      </c>
      <c r="B7" s="16" t="n">
        <v>50.3</v>
      </c>
      <c r="C7" s="16" t="n">
        <v>50.3</v>
      </c>
      <c r="D7" s="16" t="n">
        <v>16.7</v>
      </c>
      <c r="E7" s="16" t="n">
        <v>33.4</v>
      </c>
      <c r="F7" s="16" t="n">
        <v>3</v>
      </c>
      <c r="G7" s="16" t="n">
        <v>0</v>
      </c>
      <c r="H7" s="16" t="n">
        <v>0</v>
      </c>
      <c r="I7" s="16" t="n">
        <v>0</v>
      </c>
      <c r="J7" s="16" t="n">
        <v>9.16</v>
      </c>
      <c r="K7" s="16" t="n">
        <v>8.8</v>
      </c>
      <c r="L7" s="16" t="n">
        <v>232</v>
      </c>
      <c r="M7" s="17" t="n">
        <v>247699</v>
      </c>
      <c r="N7" s="16" t="n">
        <v>12</v>
      </c>
      <c r="O7" s="16" t="n">
        <v>207</v>
      </c>
      <c r="P7" s="16" t="n">
        <v>20</v>
      </c>
      <c r="Q7" s="16" t="n">
        <v>16.7</v>
      </c>
      <c r="R7" s="16" t="n">
        <v>0</v>
      </c>
      <c r="S7" s="13" t="str">
        <f aca="false">IF(B7&gt;=$B$3,"ถึงเป้า (จำลอง)","ต่ำกว่าเป้า")</f>
        <v>ถึงเป้า (จำลอง)</v>
      </c>
    </row>
    <row r="8" customFormat="false" ht="15" hidden="false" customHeight="false" outlineLevel="0" collapsed="false">
      <c r="A8" s="13" t="s">
        <v>59</v>
      </c>
      <c r="B8" s="16" t="n">
        <v>48</v>
      </c>
      <c r="C8" s="16" t="n">
        <v>48</v>
      </c>
      <c r="D8" s="16" t="n">
        <v>16.8</v>
      </c>
      <c r="E8" s="16" t="n">
        <v>33.5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10.51</v>
      </c>
      <c r="K8" s="16" t="n">
        <v>11.6</v>
      </c>
      <c r="L8" s="16" t="n">
        <v>276</v>
      </c>
      <c r="M8" s="17" t="n">
        <v>255321</v>
      </c>
      <c r="N8" s="16" t="n">
        <v>34</v>
      </c>
      <c r="O8" s="16" t="n">
        <v>241</v>
      </c>
      <c r="P8" s="16" t="n">
        <v>25</v>
      </c>
      <c r="Q8" s="16" t="n">
        <v>24</v>
      </c>
      <c r="R8" s="16" t="n">
        <v>0</v>
      </c>
      <c r="S8" s="13" t="str">
        <f aca="false">IF(B8&gt;=$B$3,"ถึงเป้า (จำลอง)","ต่ำกว่าเป้า")</f>
        <v>ถึงเป้า (จำลอง)</v>
      </c>
    </row>
    <row r="9" customFormat="false" ht="15" hidden="false" customHeight="false" outlineLevel="0" collapsed="false">
      <c r="A9" s="13" t="s">
        <v>153</v>
      </c>
      <c r="B9" s="16" t="n">
        <v>59.4</v>
      </c>
      <c r="C9" s="16" t="n">
        <v>59.4</v>
      </c>
      <c r="D9" s="16" t="n">
        <v>16.6</v>
      </c>
      <c r="E9" s="16" t="n">
        <v>17.6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6.48</v>
      </c>
      <c r="K9" s="16" t="n">
        <v>7.6</v>
      </c>
      <c r="L9" s="16" t="n">
        <v>233</v>
      </c>
      <c r="M9" s="17" t="n">
        <v>247711</v>
      </c>
      <c r="N9" s="16" t="n">
        <v>12</v>
      </c>
      <c r="O9" s="16" t="n">
        <v>234</v>
      </c>
      <c r="P9" s="16" t="n">
        <v>20</v>
      </c>
      <c r="Q9" s="16" t="n">
        <v>22.4</v>
      </c>
      <c r="R9" s="16" t="n">
        <v>0</v>
      </c>
      <c r="S9" s="13" t="str">
        <f aca="false">IF(B9&gt;=$B$3,"ถึงเป้า (จำลอง)","ต่ำกว่าเป้า")</f>
        <v>ถึงเป้า (จำลอง)</v>
      </c>
    </row>
    <row r="12" customFormat="false" ht="15" hidden="false" customHeight="false" outlineLevel="0" collapsed="false">
      <c r="A12" s="9" t="s">
        <v>65</v>
      </c>
    </row>
    <row r="13" customFormat="false" ht="15" hidden="false" customHeight="false" outlineLevel="0" collapsed="false">
      <c r="A13" s="13" t="s">
        <v>154</v>
      </c>
    </row>
    <row r="14" customFormat="false" ht="15" hidden="false" customHeight="false" outlineLevel="0" collapsed="false">
      <c r="A14" s="13" t="s">
        <v>155</v>
      </c>
    </row>
    <row r="15" customFormat="false" ht="15" hidden="false" customHeight="false" outlineLevel="0" collapsed="false">
      <c r="A15" s="13" t="s">
        <v>156</v>
      </c>
    </row>
    <row r="16" customFormat="false" ht="15" hidden="false" customHeight="false" outlineLevel="0" collapsed="false">
      <c r="A16" s="13" t="s">
        <v>157</v>
      </c>
    </row>
    <row r="17" customFormat="false" ht="15" hidden="false" customHeight="false" outlineLevel="0" collapsed="false">
      <c r="A17" s="1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159</v>
      </c>
    </row>
    <row r="3" customFormat="false" ht="45" hidden="false" customHeight="true" outlineLevel="0" collapsed="false">
      <c r="A3" s="3" t="s">
        <v>95</v>
      </c>
      <c r="B3" s="3" t="s">
        <v>64</v>
      </c>
    </row>
    <row r="4" customFormat="false" ht="26.85" hidden="false" customHeight="false" outlineLevel="0" collapsed="false">
      <c r="A4" s="13" t="s">
        <v>160</v>
      </c>
      <c r="B4" s="6" t="s">
        <v>161</v>
      </c>
    </row>
    <row r="5" customFormat="false" ht="39.55" hidden="false" customHeight="false" outlineLevel="0" collapsed="false">
      <c r="A5" s="13" t="s">
        <v>162</v>
      </c>
      <c r="B5" s="6" t="s">
        <v>163</v>
      </c>
    </row>
    <row r="6" customFormat="false" ht="15" hidden="false" customHeight="false" outlineLevel="0" collapsed="false">
      <c r="A6" s="13" t="s">
        <v>164</v>
      </c>
      <c r="B6" s="6" t="s">
        <v>165</v>
      </c>
    </row>
    <row r="7" customFormat="false" ht="26.85" hidden="false" customHeight="false" outlineLevel="0" collapsed="false">
      <c r="A7" s="13" t="s">
        <v>166</v>
      </c>
      <c r="B7" s="6" t="s">
        <v>167</v>
      </c>
    </row>
    <row r="8" customFormat="false" ht="15" hidden="false" customHeight="false" outlineLevel="0" collapsed="false">
      <c r="A8" s="13" t="s">
        <v>168</v>
      </c>
      <c r="B8" s="6" t="s">
        <v>169</v>
      </c>
    </row>
    <row r="9" customFormat="false" ht="15" hidden="false" customHeight="false" outlineLevel="0" collapsed="false">
      <c r="A9" s="13" t="s">
        <v>170</v>
      </c>
      <c r="B9" s="6" t="s">
        <v>171</v>
      </c>
    </row>
    <row r="10" customFormat="false" ht="15" hidden="false" customHeight="false" outlineLevel="0" collapsed="false">
      <c r="A10" s="13" t="s">
        <v>172</v>
      </c>
      <c r="B10" s="6" t="s">
        <v>173</v>
      </c>
    </row>
    <row r="11" customFormat="false" ht="15" hidden="false" customHeight="false" outlineLevel="0" collapsed="false">
      <c r="A11" s="13" t="s">
        <v>174</v>
      </c>
      <c r="B11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2026-10-18T03:02:00Z</dcterms:created>
  <dc:creator>openpyxl</dc:creator>
  <dc:description/>
  <dc:language>en-US</dc:language>
  <cp:lastModifiedBy/>
  <dcterms:modified xsi:type="dcterms:W3CDTF">2026-10-18T03:02:00Z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